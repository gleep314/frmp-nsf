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workbookPr codeName="ThisWorkbook"/>
  <mc:AlternateContent xmlns:mc="http://schemas.openxmlformats.org/markup-compatibility/2006">
    <mc:Choice Requires="x15">
      <x15ac:absPath xmlns:x15ac="http://schemas.microsoft.com/office/spreadsheetml/2010/11/ac" url="C:\Users\jil\Documents\Research\repos\frmp-nsf-medium\budget\"/>
    </mc:Choice>
  </mc:AlternateContent>
  <xr:revisionPtr revIDLastSave="0" documentId="13_ncr:1_{8897B848-FDC8-4D77-8FB3-4EBA3FD01481}" xr6:coauthVersionLast="45" xr6:coauthVersionMax="45" xr10:uidLastSave="{00000000-0000-0000-0000-000000000000}"/>
  <bookViews>
    <workbookView xWindow="4890" yWindow="1160" windowWidth="30660" windowHeight="18820" xr2:uid="{00000000-000D-0000-FFFF-FFFF00000000}"/>
  </bookViews>
  <sheets>
    <sheet name="Summary" sheetId="2" r:id="rId1"/>
    <sheet name="F&amp;A Calculation- Sponsor Funds " sheetId="6" state="hidden" r:id="rId2"/>
    <sheet name="F&amp;A Calculations - Cost Share" sheetId="7" state="hidden" r:id="rId3"/>
    <sheet name="Tuition" sheetId="3" r:id="rId4"/>
    <sheet name="Travel" sheetId="9" r:id="rId5"/>
    <sheet name="TFFA IDC Calculator" sheetId="10" r:id="rId6"/>
    <sheet name="SPA USE ONLY" sheetId="4" r:id="rId7"/>
  </sheets>
  <externalReferences>
    <externalReference r:id="rId8"/>
    <externalReference r:id="rId9"/>
  </externalReferences>
  <definedNames>
    <definedName name="_YR1" localSheetId="2">#REF!</definedName>
    <definedName name="_YR1">#REF!</definedName>
    <definedName name="_YR2" localSheetId="2">#REF!</definedName>
    <definedName name="_YR2">#REF!</definedName>
    <definedName name="_YR3" localSheetId="2">'[1]Form Page 4'!#REF!</definedName>
    <definedName name="_YR3">'[1]Form Page 4'!#REF!</definedName>
    <definedName name="_YR4" localSheetId="2">'[1]Form Page 4'!#REF!</definedName>
    <definedName name="_YR4">'[1]Form Page 4'!#REF!</definedName>
    <definedName name="_YR5" localSheetId="2">'[1]Form Page 4'!#REF!</definedName>
    <definedName name="_YR5">'[1]Form Page 4'!#REF!</definedName>
    <definedName name="bach" localSheetId="2">#REF!</definedName>
    <definedName name="bach">#REF!</definedName>
    <definedName name="FA_RATE">Summary!$U$4:$U$7</definedName>
    <definedName name="fac" localSheetId="2">#REF!</definedName>
    <definedName name="fac">#REF!</definedName>
    <definedName name="grad" localSheetId="2">#REF!</definedName>
    <definedName name="grad">#REF!</definedName>
    <definedName name="GroundTranspo">Travel!$P$10</definedName>
    <definedName name="GS" localSheetId="2">'[1]Form Page 4'!#REF!</definedName>
    <definedName name="GS">'[1]Form Page 4'!#REF!</definedName>
    <definedName name="hour" localSheetId="2">#REF!</definedName>
    <definedName name="hour">#REF!</definedName>
    <definedName name="HR" localSheetId="2">'[1]Form Page 4'!#REF!</definedName>
    <definedName name="HR">'[1]Form Page 4'!#REF!</definedName>
    <definedName name="merit" localSheetId="2">#REF!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 localSheetId="2">'[1]Form Page 4'!#REF!</definedName>
    <definedName name="PD">'[1]Form Page 4'!#REF!</definedName>
    <definedName name="post" localSheetId="2">#REF!</definedName>
    <definedName name="post">#REF!</definedName>
    <definedName name="_xlnm.Print_Area" localSheetId="0">Summary!$A$1:$U$115</definedName>
    <definedName name="_xlnm.Print_Area" localSheetId="5">'TFFA IDC Calculator'!$A$18:$F$49</definedName>
    <definedName name="_xlnm.Print_Area" localSheetId="3">Tuition!$A$1:$S$65</definedName>
    <definedName name="Print_Area_MI" localSheetId="2">#REF!</definedName>
    <definedName name="Print_Area_MI">#REF!</definedName>
    <definedName name="Print_Titles_MI" localSheetId="2">#REF!</definedName>
    <definedName name="Print_Titles_MI">#REF!</definedName>
    <definedName name="Project2_Comments" localSheetId="1">#REF!</definedName>
    <definedName name="Project2_Comments" localSheetId="2">#REF!</definedName>
    <definedName name="Project2_Comments">#REF!</definedName>
    <definedName name="Project3_Budget" localSheetId="1">#REF!</definedName>
    <definedName name="Project3_Budget" localSheetId="2">#REF!</definedName>
    <definedName name="Project3_Budget">#REF!</definedName>
    <definedName name="Project3_Comments" localSheetId="1">#REF!</definedName>
    <definedName name="Project3_Comments" localSheetId="2">#REF!</definedName>
    <definedName name="Project3_Comments">#REF!</definedName>
    <definedName name="Project4_Budget" localSheetId="1">#REF!</definedName>
    <definedName name="Project4_Budget" localSheetId="2">#REF!</definedName>
    <definedName name="Project4_Budget">#REF!</definedName>
    <definedName name="Project4_Comments" localSheetId="1">#REF!</definedName>
    <definedName name="Project4_Comments" localSheetId="2">#REF!</definedName>
    <definedName name="Project4_Comments">#REF!</definedName>
    <definedName name="Project5_Budget" localSheetId="1">#REF!</definedName>
    <definedName name="Project5_Budget" localSheetId="2">#REF!</definedName>
    <definedName name="Project5_Budget">#REF!</definedName>
    <definedName name="Project5_Comments" localSheetId="1">#REF!</definedName>
    <definedName name="Project5_Comments" localSheetId="2">#REF!</definedName>
    <definedName name="Project5_Comments">#REF!</definedName>
    <definedName name="PRSALARY" localSheetId="2" function="1" xlm="1">#REF!</definedName>
    <definedName name="PRSALARY" function="1" xlm="1">#REF!</definedName>
    <definedName name="ps" localSheetId="2">#REF!</definedName>
    <definedName name="ps">#REF!</definedName>
    <definedName name="TFF_TDC">Summary!$U$6</definedName>
    <definedName name="ug" localSheetId="2">#REF!</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2" i="9" l="1"/>
  <c r="P39" i="2" l="1"/>
  <c r="H15" i="2"/>
  <c r="I48" i="2" l="1"/>
  <c r="D36" i="10" l="1"/>
  <c r="D13" i="10"/>
  <c r="B14" i="10" s="1"/>
  <c r="E31" i="10"/>
  <c r="D31" i="10"/>
  <c r="F13" i="10" l="1"/>
  <c r="D14" i="10" s="1"/>
  <c r="F14" i="10" s="1"/>
  <c r="F15" i="10" l="1"/>
  <c r="C6" i="10"/>
  <c r="D37" i="10" s="1"/>
  <c r="F45" i="9" l="1"/>
  <c r="F49" i="9" s="1"/>
  <c r="F53" i="9" s="1"/>
  <c r="F41" i="9"/>
  <c r="G41" i="9" s="1"/>
  <c r="F40" i="9"/>
  <c r="F44" i="9" s="1"/>
  <c r="F48" i="9" s="1"/>
  <c r="F52" i="9" s="1"/>
  <c r="F39" i="9"/>
  <c r="F43" i="9" s="1"/>
  <c r="F47" i="9" s="1"/>
  <c r="F51" i="9" s="1"/>
  <c r="D41" i="9"/>
  <c r="D45" i="9" s="1"/>
  <c r="D49" i="9" s="1"/>
  <c r="D53" i="9" s="1"/>
  <c r="D40" i="9"/>
  <c r="D44" i="9" s="1"/>
  <c r="D48" i="9" s="1"/>
  <c r="D52" i="9" s="1"/>
  <c r="D39" i="9"/>
  <c r="D43" i="9" s="1"/>
  <c r="D47" i="9" s="1"/>
  <c r="D51" i="9" s="1"/>
  <c r="F21" i="9"/>
  <c r="F25" i="9" s="1"/>
  <c r="F18" i="9"/>
  <c r="F22" i="9" s="1"/>
  <c r="F26" i="9" s="1"/>
  <c r="F17" i="9"/>
  <c r="F14" i="9"/>
  <c r="F13" i="9"/>
  <c r="G13" i="9" s="1"/>
  <c r="F12" i="9"/>
  <c r="G12" i="9" s="1"/>
  <c r="D16" i="9"/>
  <c r="D20" i="9" s="1"/>
  <c r="D24" i="9" s="1"/>
  <c r="D14" i="9"/>
  <c r="D18" i="9" s="1"/>
  <c r="D22" i="9" s="1"/>
  <c r="D26" i="9" s="1"/>
  <c r="D13" i="9"/>
  <c r="D17" i="9" s="1"/>
  <c r="D21" i="9" s="1"/>
  <c r="D25" i="9" s="1"/>
  <c r="H53" i="9"/>
  <c r="J53" i="9" s="1"/>
  <c r="H52" i="9"/>
  <c r="J52" i="9" s="1"/>
  <c r="H51" i="9"/>
  <c r="J51" i="9" s="1"/>
  <c r="H49" i="9"/>
  <c r="J49" i="9" s="1"/>
  <c r="H48" i="9"/>
  <c r="J48" i="9" s="1"/>
  <c r="H47" i="9"/>
  <c r="J47" i="9" s="1"/>
  <c r="H45" i="9"/>
  <c r="J45" i="9" s="1"/>
  <c r="H44" i="9"/>
  <c r="J44" i="9" s="1"/>
  <c r="H43" i="9"/>
  <c r="J43" i="9" s="1"/>
  <c r="H41" i="9"/>
  <c r="J41" i="9" s="1"/>
  <c r="J40" i="9"/>
  <c r="H40" i="9"/>
  <c r="H39" i="9"/>
  <c r="J39" i="9" s="1"/>
  <c r="H37" i="9"/>
  <c r="J37" i="9" s="1"/>
  <c r="G37" i="9"/>
  <c r="H36" i="9"/>
  <c r="J36" i="9" s="1"/>
  <c r="G36" i="9"/>
  <c r="H35" i="9"/>
  <c r="J35" i="9" s="1"/>
  <c r="G35" i="9"/>
  <c r="M35" i="9" s="1"/>
  <c r="J8" i="9"/>
  <c r="G8" i="9"/>
  <c r="M8" i="9" s="1"/>
  <c r="H26" i="9"/>
  <c r="H25" i="9"/>
  <c r="J25" i="9" s="1"/>
  <c r="H24" i="9"/>
  <c r="H22" i="9"/>
  <c r="H21" i="9"/>
  <c r="J21" i="9" s="1"/>
  <c r="H20" i="9"/>
  <c r="J20" i="9" s="1"/>
  <c r="H18" i="9"/>
  <c r="J18" i="9" s="1"/>
  <c r="H17" i="9"/>
  <c r="H16" i="9"/>
  <c r="H14" i="9"/>
  <c r="H13" i="9"/>
  <c r="H12" i="9"/>
  <c r="H10" i="9"/>
  <c r="G10" i="9"/>
  <c r="H9" i="9"/>
  <c r="J9" i="9" s="1"/>
  <c r="G9" i="9"/>
  <c r="F16" i="9" l="1"/>
  <c r="F20" i="9" s="1"/>
  <c r="F24" i="9" s="1"/>
  <c r="M9" i="9"/>
  <c r="M37" i="9"/>
  <c r="M38" i="9" s="1"/>
  <c r="H72" i="2" s="1"/>
  <c r="G52" i="9"/>
  <c r="G51" i="9"/>
  <c r="M41" i="9"/>
  <c r="M36" i="9"/>
  <c r="G40" i="9"/>
  <c r="M40" i="9" s="1"/>
  <c r="G39" i="9"/>
  <c r="M39" i="9"/>
  <c r="G17" i="9"/>
  <c r="G44" i="9"/>
  <c r="M44" i="9" s="1"/>
  <c r="G43" i="9"/>
  <c r="M43" i="9" s="1"/>
  <c r="J24" i="9"/>
  <c r="J22" i="9"/>
  <c r="J17" i="9"/>
  <c r="G18" i="9"/>
  <c r="M18" i="9" s="1"/>
  <c r="G14" i="9"/>
  <c r="J16" i="9"/>
  <c r="J14" i="9"/>
  <c r="J13" i="9"/>
  <c r="J10" i="9"/>
  <c r="M10" i="9" s="1"/>
  <c r="J12" i="9"/>
  <c r="M12" i="9" s="1"/>
  <c r="J26" i="9"/>
  <c r="M13" i="9"/>
  <c r="G48" i="9" l="1"/>
  <c r="M48" i="9" s="1"/>
  <c r="G47" i="9"/>
  <c r="G45" i="9"/>
  <c r="M42" i="9"/>
  <c r="J72" i="2" s="1"/>
  <c r="M14" i="9"/>
  <c r="M15" i="9" s="1"/>
  <c r="J71" i="2" s="1"/>
  <c r="M17" i="9"/>
  <c r="G25" i="9"/>
  <c r="M52" i="9"/>
  <c r="M45" i="9"/>
  <c r="M46" i="9" s="1"/>
  <c r="L72" i="2" s="1"/>
  <c r="M51" i="9"/>
  <c r="M47" i="9"/>
  <c r="M11" i="9"/>
  <c r="H71" i="2" s="1"/>
  <c r="G16" i="9"/>
  <c r="M16" i="9" s="1"/>
  <c r="G22" i="9"/>
  <c r="M22" i="9" s="1"/>
  <c r="G26" i="9"/>
  <c r="G21" i="9" l="1"/>
  <c r="M21" i="9" s="1"/>
  <c r="G53" i="9"/>
  <c r="M53" i="9" s="1"/>
  <c r="M54" i="9" s="1"/>
  <c r="P72" i="2" s="1"/>
  <c r="G49" i="9"/>
  <c r="M19" i="9"/>
  <c r="L71" i="2" s="1"/>
  <c r="M49" i="9"/>
  <c r="M50" i="9" s="1"/>
  <c r="N72" i="2" s="1"/>
  <c r="M26" i="9"/>
  <c r="M25" i="9"/>
  <c r="G20" i="9"/>
  <c r="M20" i="9" s="1"/>
  <c r="G24" i="9"/>
  <c r="M24" i="9" s="1"/>
  <c r="M23" i="9" l="1"/>
  <c r="N71" i="2" s="1"/>
  <c r="M27" i="9"/>
  <c r="P71" i="2" s="1"/>
  <c r="S111" i="2" l="1"/>
  <c r="T111" i="2" s="1"/>
  <c r="S112" i="2"/>
  <c r="T112" i="2" s="1"/>
  <c r="S94" i="2" l="1"/>
  <c r="S95" i="2"/>
  <c r="N136" i="2" l="1"/>
  <c r="K136" i="2" s="1"/>
  <c r="K111" i="3" l="1"/>
  <c r="H4" i="2" l="1"/>
  <c r="D106" i="2" s="1"/>
  <c r="D35" i="10" s="1"/>
  <c r="E106" i="2" l="1"/>
  <c r="C106" i="2"/>
  <c r="B35" i="10" s="1"/>
  <c r="R96" i="2" l="1"/>
  <c r="K112" i="3"/>
  <c r="O111" i="3"/>
  <c r="M111" i="3" s="1"/>
  <c r="Q112" i="3"/>
  <c r="O112" i="3" s="1"/>
  <c r="O113" i="3" s="1"/>
  <c r="O114" i="3" s="1"/>
  <c r="O115" i="3" s="1"/>
  <c r="O116" i="3" s="1"/>
  <c r="O117" i="3" s="1"/>
  <c r="O118" i="3" s="1"/>
  <c r="K120" i="3"/>
  <c r="M120" i="3"/>
  <c r="O120" i="3"/>
  <c r="Q121" i="3"/>
  <c r="Q122" i="3" s="1"/>
  <c r="Q123" i="3" s="1"/>
  <c r="Q124" i="3" s="1"/>
  <c r="Q125" i="3" s="1"/>
  <c r="Q126" i="3" s="1"/>
  <c r="Q127" i="3" s="1"/>
  <c r="O279" i="3"/>
  <c r="O280" i="3" s="1"/>
  <c r="O281" i="3" s="1"/>
  <c r="O282" i="3" s="1"/>
  <c r="O283" i="3" s="1"/>
  <c r="O284" i="3" s="1"/>
  <c r="O285" i="3" s="1"/>
  <c r="O286" i="3" s="1"/>
  <c r="M279" i="3"/>
  <c r="M280" i="3" s="1"/>
  <c r="M281" i="3" s="1"/>
  <c r="M282" i="3" s="1"/>
  <c r="M283" i="3" s="1"/>
  <c r="M284" i="3" s="1"/>
  <c r="M285" i="3" s="1"/>
  <c r="M286" i="3" s="1"/>
  <c r="K279" i="3"/>
  <c r="K280" i="3" s="1"/>
  <c r="K281" i="3" s="1"/>
  <c r="K282" i="3" s="1"/>
  <c r="K283" i="3" s="1"/>
  <c r="K284" i="3" s="1"/>
  <c r="K285" i="3" s="1"/>
  <c r="K286" i="3" s="1"/>
  <c r="O270" i="3"/>
  <c r="M270" i="3"/>
  <c r="K270" i="3"/>
  <c r="O261" i="3"/>
  <c r="O262" i="3" s="1"/>
  <c r="O263" i="3" s="1"/>
  <c r="O264" i="3" s="1"/>
  <c r="O265" i="3" s="1"/>
  <c r="O266" i="3" s="1"/>
  <c r="O267" i="3" s="1"/>
  <c r="O268" i="3" s="1"/>
  <c r="M261" i="3"/>
  <c r="M262" i="3" s="1"/>
  <c r="M263" i="3" s="1"/>
  <c r="M264" i="3" s="1"/>
  <c r="M265" i="3" s="1"/>
  <c r="M266" i="3" s="1"/>
  <c r="M267" i="3" s="1"/>
  <c r="M268" i="3" s="1"/>
  <c r="K261" i="3"/>
  <c r="K262" i="3" s="1"/>
  <c r="K263" i="3" s="1"/>
  <c r="K264" i="3" s="1"/>
  <c r="K265" i="3" s="1"/>
  <c r="K266" i="3" s="1"/>
  <c r="K267" i="3" s="1"/>
  <c r="K268" i="3" s="1"/>
  <c r="O249" i="3"/>
  <c r="O250" i="3" s="1"/>
  <c r="O251" i="3" s="1"/>
  <c r="O252" i="3" s="1"/>
  <c r="O253" i="3" s="1"/>
  <c r="O254" i="3" s="1"/>
  <c r="O255" i="3" s="1"/>
  <c r="O256" i="3" s="1"/>
  <c r="M249" i="3"/>
  <c r="K249" i="3"/>
  <c r="K250" i="3" s="1"/>
  <c r="K251" i="3" s="1"/>
  <c r="O240" i="3"/>
  <c r="M240" i="3"/>
  <c r="K240" i="3"/>
  <c r="O231" i="3"/>
  <c r="O232" i="3" s="1"/>
  <c r="O233" i="3" s="1"/>
  <c r="O234" i="3" s="1"/>
  <c r="O235" i="3" s="1"/>
  <c r="O236" i="3" s="1"/>
  <c r="O237" i="3" s="1"/>
  <c r="O238" i="3" s="1"/>
  <c r="M231" i="3"/>
  <c r="M232" i="3" s="1"/>
  <c r="M233" i="3" s="1"/>
  <c r="M234" i="3" s="1"/>
  <c r="M235" i="3" s="1"/>
  <c r="M236" i="3" s="1"/>
  <c r="M237" i="3" s="1"/>
  <c r="M238" i="3" s="1"/>
  <c r="K231" i="3"/>
  <c r="K232" i="3" s="1"/>
  <c r="K233" i="3" s="1"/>
  <c r="K234" i="3" s="1"/>
  <c r="K235" i="3" s="1"/>
  <c r="K236" i="3" s="1"/>
  <c r="K237" i="3" s="1"/>
  <c r="K238" i="3" s="1"/>
  <c r="O219" i="3"/>
  <c r="O220" i="3" s="1"/>
  <c r="O221" i="3" s="1"/>
  <c r="O222" i="3" s="1"/>
  <c r="O223" i="3" s="1"/>
  <c r="O224" i="3" s="1"/>
  <c r="O225" i="3" s="1"/>
  <c r="O226" i="3" s="1"/>
  <c r="M219" i="3"/>
  <c r="M220" i="3" s="1"/>
  <c r="K219" i="3"/>
  <c r="K220" i="3" s="1"/>
  <c r="O210" i="3"/>
  <c r="M210" i="3"/>
  <c r="K210" i="3"/>
  <c r="O201" i="3"/>
  <c r="O202" i="3" s="1"/>
  <c r="O203" i="3" s="1"/>
  <c r="O204" i="3" s="1"/>
  <c r="O205" i="3" s="1"/>
  <c r="O206" i="3" s="1"/>
  <c r="O207" i="3" s="1"/>
  <c r="O208" i="3" s="1"/>
  <c r="M201" i="3"/>
  <c r="K201" i="3"/>
  <c r="K202" i="3" s="1"/>
  <c r="K203" i="3" s="1"/>
  <c r="K204" i="3" s="1"/>
  <c r="K205" i="3" s="1"/>
  <c r="K206" i="3" s="1"/>
  <c r="K207" i="3" s="1"/>
  <c r="K208" i="3" s="1"/>
  <c r="O189" i="3"/>
  <c r="O190" i="3" s="1"/>
  <c r="O191" i="3" s="1"/>
  <c r="O192" i="3" s="1"/>
  <c r="O193" i="3" s="1"/>
  <c r="O194" i="3" s="1"/>
  <c r="O195" i="3" s="1"/>
  <c r="O196" i="3" s="1"/>
  <c r="M189" i="3"/>
  <c r="M190" i="3" s="1"/>
  <c r="M191" i="3" s="1"/>
  <c r="M192" i="3" s="1"/>
  <c r="K189" i="3"/>
  <c r="O180" i="3"/>
  <c r="M180" i="3"/>
  <c r="K180" i="3"/>
  <c r="O171" i="3"/>
  <c r="M171" i="3"/>
  <c r="K171" i="3"/>
  <c r="K172" i="3" s="1"/>
  <c r="K173" i="3" s="1"/>
  <c r="K174" i="3" s="1"/>
  <c r="K175" i="3" s="1"/>
  <c r="K176" i="3" s="1"/>
  <c r="K177" i="3" s="1"/>
  <c r="K178" i="3" s="1"/>
  <c r="O159" i="3"/>
  <c r="O160" i="3" s="1"/>
  <c r="O161" i="3" s="1"/>
  <c r="O162" i="3" s="1"/>
  <c r="O163" i="3" s="1"/>
  <c r="O164" i="3" s="1"/>
  <c r="O165" i="3" s="1"/>
  <c r="O166" i="3" s="1"/>
  <c r="M159" i="3"/>
  <c r="M160" i="3" s="1"/>
  <c r="M161" i="3" s="1"/>
  <c r="M162" i="3" s="1"/>
  <c r="M163" i="3" s="1"/>
  <c r="K159" i="3"/>
  <c r="K160" i="3" s="1"/>
  <c r="K161" i="3" s="1"/>
  <c r="O150" i="3"/>
  <c r="M150" i="3" s="1"/>
  <c r="K150" i="3"/>
  <c r="O141" i="3"/>
  <c r="M141" i="3" s="1"/>
  <c r="K141" i="3"/>
  <c r="K142" i="3" s="1"/>
  <c r="K143" i="3" s="1"/>
  <c r="K144" i="3" s="1"/>
  <c r="K145" i="3" s="1"/>
  <c r="K146" i="3" s="1"/>
  <c r="K147" i="3" s="1"/>
  <c r="K148" i="3" s="1"/>
  <c r="O129" i="3"/>
  <c r="M129" i="3"/>
  <c r="K129" i="3"/>
  <c r="H28" i="2"/>
  <c r="J28" i="2" s="1"/>
  <c r="N11" i="2"/>
  <c r="M11" i="2" s="1"/>
  <c r="P11" i="2"/>
  <c r="O11" i="2" s="1"/>
  <c r="L11" i="2"/>
  <c r="K11" i="2" s="1"/>
  <c r="J11" i="2"/>
  <c r="I11" i="2" s="1"/>
  <c r="H11" i="2"/>
  <c r="B17" i="6" s="1"/>
  <c r="H16" i="2"/>
  <c r="H43" i="2" s="1"/>
  <c r="H17" i="2"/>
  <c r="J17" i="2" s="1"/>
  <c r="H18" i="2"/>
  <c r="H45" i="2" s="1"/>
  <c r="H19" i="2"/>
  <c r="H20" i="2"/>
  <c r="J20" i="2" s="1"/>
  <c r="H21" i="2"/>
  <c r="H22" i="2"/>
  <c r="J22" i="2" s="1"/>
  <c r="H23" i="2"/>
  <c r="J23" i="2" s="1"/>
  <c r="H26" i="2"/>
  <c r="H51" i="2" s="1"/>
  <c r="H27" i="2"/>
  <c r="J27" i="2" s="1"/>
  <c r="H29" i="2"/>
  <c r="J29" i="2" s="1"/>
  <c r="H30" i="2"/>
  <c r="H55" i="2" s="1"/>
  <c r="H31" i="2"/>
  <c r="J31" i="2" s="1"/>
  <c r="H32" i="2"/>
  <c r="H57" i="2" s="1"/>
  <c r="H33" i="2"/>
  <c r="H58" i="2" s="1"/>
  <c r="H34" i="2"/>
  <c r="H59" i="2" s="1"/>
  <c r="H35" i="2"/>
  <c r="H60" i="2" s="1"/>
  <c r="H36" i="2"/>
  <c r="H61" i="2" s="1"/>
  <c r="H37" i="2"/>
  <c r="H62" i="2" s="1"/>
  <c r="H66" i="2"/>
  <c r="H70" i="2"/>
  <c r="H74" i="2"/>
  <c r="I43" i="2"/>
  <c r="Q25" i="2"/>
  <c r="Q42" i="2"/>
  <c r="Q44" i="2"/>
  <c r="Q45" i="2"/>
  <c r="Q46" i="2"/>
  <c r="Q47" i="2"/>
  <c r="Q48" i="2"/>
  <c r="Q49" i="2"/>
  <c r="Q50" i="2"/>
  <c r="Q51" i="2"/>
  <c r="Q52" i="2"/>
  <c r="Q53" i="2"/>
  <c r="Q54" i="2"/>
  <c r="Q55" i="2"/>
  <c r="Q56" i="2"/>
  <c r="Q57" i="2"/>
  <c r="Q58" i="2"/>
  <c r="Q59" i="2"/>
  <c r="Q60" i="2"/>
  <c r="Q61" i="2"/>
  <c r="Q62" i="2"/>
  <c r="Q66" i="2"/>
  <c r="Q70" i="2"/>
  <c r="Q74" i="2"/>
  <c r="Q80" i="2"/>
  <c r="P66" i="2"/>
  <c r="P70" i="2"/>
  <c r="P74" i="2"/>
  <c r="O25" i="2"/>
  <c r="O42" i="2"/>
  <c r="O44" i="2"/>
  <c r="O45" i="2"/>
  <c r="O46" i="2"/>
  <c r="O47" i="2"/>
  <c r="O48" i="2"/>
  <c r="O49" i="2"/>
  <c r="O50" i="2"/>
  <c r="O51" i="2"/>
  <c r="O52" i="2"/>
  <c r="O53" i="2"/>
  <c r="O54" i="2"/>
  <c r="O55" i="2"/>
  <c r="O56" i="2"/>
  <c r="O57" i="2"/>
  <c r="O58" i="2"/>
  <c r="O59" i="2"/>
  <c r="O60" i="2"/>
  <c r="O61" i="2"/>
  <c r="O62" i="2"/>
  <c r="O66" i="2"/>
  <c r="O70" i="2"/>
  <c r="O74" i="2"/>
  <c r="O80" i="2"/>
  <c r="N66" i="2"/>
  <c r="N70" i="2"/>
  <c r="N74" i="2"/>
  <c r="M25" i="2"/>
  <c r="M42" i="2"/>
  <c r="M44" i="2"/>
  <c r="M45" i="2"/>
  <c r="M46" i="2"/>
  <c r="M47" i="2"/>
  <c r="M48" i="2"/>
  <c r="M49" i="2"/>
  <c r="M50" i="2"/>
  <c r="M51" i="2"/>
  <c r="M52" i="2"/>
  <c r="M53" i="2"/>
  <c r="M54" i="2"/>
  <c r="M55" i="2"/>
  <c r="M56" i="2"/>
  <c r="M57" i="2"/>
  <c r="M58" i="2"/>
  <c r="M59" i="2"/>
  <c r="M60" i="2"/>
  <c r="M61" i="2"/>
  <c r="M62" i="2"/>
  <c r="M66" i="2"/>
  <c r="M70" i="2"/>
  <c r="M74" i="2"/>
  <c r="M80" i="2"/>
  <c r="L66" i="2"/>
  <c r="L70" i="2"/>
  <c r="L74" i="2"/>
  <c r="K25" i="2"/>
  <c r="K42" i="2"/>
  <c r="K44" i="2"/>
  <c r="K45" i="2"/>
  <c r="K46" i="2"/>
  <c r="K47" i="2"/>
  <c r="K48" i="2"/>
  <c r="K49" i="2"/>
  <c r="K50" i="2"/>
  <c r="K51" i="2"/>
  <c r="K52" i="2"/>
  <c r="K53" i="2"/>
  <c r="K54" i="2"/>
  <c r="K55" i="2"/>
  <c r="K56" i="2"/>
  <c r="K57" i="2"/>
  <c r="K58" i="2"/>
  <c r="K59" i="2"/>
  <c r="K60" i="2"/>
  <c r="K61" i="2"/>
  <c r="K62" i="2"/>
  <c r="K66" i="2"/>
  <c r="K70" i="2"/>
  <c r="K74" i="2"/>
  <c r="K80" i="2"/>
  <c r="I14" i="2"/>
  <c r="I39" i="2" s="1"/>
  <c r="I25" i="2"/>
  <c r="I42" i="2"/>
  <c r="I44" i="2"/>
  <c r="I45" i="2"/>
  <c r="I46" i="2"/>
  <c r="I47" i="2"/>
  <c r="I49" i="2"/>
  <c r="I50" i="2"/>
  <c r="I51" i="2"/>
  <c r="I52" i="2"/>
  <c r="I53" i="2"/>
  <c r="I54" i="2"/>
  <c r="I55" i="2"/>
  <c r="I56" i="2"/>
  <c r="S56" i="2" s="1"/>
  <c r="I57" i="2"/>
  <c r="I58" i="2"/>
  <c r="I59" i="2"/>
  <c r="I60" i="2"/>
  <c r="I61" i="2"/>
  <c r="I62" i="2"/>
  <c r="I66" i="2"/>
  <c r="I70" i="2"/>
  <c r="I74" i="2"/>
  <c r="I80" i="2"/>
  <c r="J66" i="2"/>
  <c r="J70" i="2"/>
  <c r="J74" i="2"/>
  <c r="D72" i="7"/>
  <c r="D82" i="7"/>
  <c r="H81" i="7"/>
  <c r="F81" i="7"/>
  <c r="G81" i="7" s="1"/>
  <c r="H80" i="7"/>
  <c r="F80" i="7"/>
  <c r="F82" i="7" s="1"/>
  <c r="E77" i="7" s="1"/>
  <c r="H79" i="7"/>
  <c r="F79" i="7"/>
  <c r="H78" i="7"/>
  <c r="H77" i="7"/>
  <c r="H82" i="7"/>
  <c r="F78" i="7"/>
  <c r="G78" i="7" s="1"/>
  <c r="F77" i="7"/>
  <c r="G77" i="7" s="1"/>
  <c r="C77" i="7"/>
  <c r="H71" i="7"/>
  <c r="F71" i="7"/>
  <c r="G71" i="7" s="1"/>
  <c r="H70" i="7"/>
  <c r="F70" i="7"/>
  <c r="G70" i="7"/>
  <c r="H69" i="7"/>
  <c r="F69" i="7"/>
  <c r="G69" i="7" s="1"/>
  <c r="H68" i="7"/>
  <c r="F68" i="7"/>
  <c r="H67" i="7"/>
  <c r="H72" i="7"/>
  <c r="F67" i="7"/>
  <c r="C67" i="7"/>
  <c r="G67" i="7"/>
  <c r="G79" i="7"/>
  <c r="C67" i="6"/>
  <c r="F67" i="6"/>
  <c r="G67" i="6"/>
  <c r="H67" i="6"/>
  <c r="F68" i="6"/>
  <c r="G68" i="6" s="1"/>
  <c r="G72" i="6" s="1"/>
  <c r="H68" i="6"/>
  <c r="H72" i="6"/>
  <c r="F69" i="6"/>
  <c r="G69" i="6" s="1"/>
  <c r="H69" i="6"/>
  <c r="F70" i="6"/>
  <c r="G70" i="6" s="1"/>
  <c r="H70" i="6"/>
  <c r="F71" i="6"/>
  <c r="G71" i="6" s="1"/>
  <c r="H71" i="6"/>
  <c r="D72" i="6"/>
  <c r="C77" i="6"/>
  <c r="F77" i="6"/>
  <c r="G77" i="6"/>
  <c r="H77" i="6"/>
  <c r="F78" i="6"/>
  <c r="G78" i="6" s="1"/>
  <c r="H78" i="6"/>
  <c r="H82" i="6"/>
  <c r="F79" i="6"/>
  <c r="G79" i="6"/>
  <c r="H79" i="6"/>
  <c r="F80" i="6"/>
  <c r="F82" i="6" s="1"/>
  <c r="E77" i="6" s="1"/>
  <c r="G80" i="6"/>
  <c r="H80" i="6"/>
  <c r="F81" i="6"/>
  <c r="G81" i="6"/>
  <c r="H81" i="6"/>
  <c r="D82" i="6"/>
  <c r="S86" i="2"/>
  <c r="R86" i="2"/>
  <c r="S83" i="2"/>
  <c r="R83" i="2"/>
  <c r="C21" i="4" s="1"/>
  <c r="S93" i="2"/>
  <c r="B4" i="4"/>
  <c r="B3" i="4"/>
  <c r="B2" i="4"/>
  <c r="B1" i="4"/>
  <c r="S97" i="2"/>
  <c r="S96" i="2"/>
  <c r="S92" i="2"/>
  <c r="S91" i="2"/>
  <c r="S90" i="2"/>
  <c r="S89" i="2"/>
  <c r="S88" i="2"/>
  <c r="S87" i="2"/>
  <c r="S85" i="2"/>
  <c r="S84" i="2"/>
  <c r="S82" i="2"/>
  <c r="S81" i="2"/>
  <c r="S78" i="2"/>
  <c r="S77" i="2"/>
  <c r="S76" i="2"/>
  <c r="S75" i="2"/>
  <c r="S72" i="2"/>
  <c r="S71" i="2"/>
  <c r="S68" i="2"/>
  <c r="S67" i="2"/>
  <c r="S37" i="2"/>
  <c r="S36" i="2"/>
  <c r="S35" i="2"/>
  <c r="S34" i="2"/>
  <c r="S33" i="2"/>
  <c r="S32" i="2"/>
  <c r="S31" i="2"/>
  <c r="S30" i="2"/>
  <c r="S29" i="2"/>
  <c r="S28" i="2"/>
  <c r="S27" i="2"/>
  <c r="S26" i="2"/>
  <c r="S23" i="2"/>
  <c r="S22" i="2"/>
  <c r="S21" i="2"/>
  <c r="S20" i="2"/>
  <c r="S19" i="2"/>
  <c r="S18" i="2"/>
  <c r="S17" i="2"/>
  <c r="S15" i="2"/>
  <c r="R97" i="2"/>
  <c r="R90" i="2"/>
  <c r="R89" i="2"/>
  <c r="R88" i="2"/>
  <c r="R87" i="2"/>
  <c r="R85" i="2"/>
  <c r="R84" i="2"/>
  <c r="C19" i="4" s="1"/>
  <c r="R82" i="2"/>
  <c r="C20" i="4" s="1"/>
  <c r="R81" i="2"/>
  <c r="C14" i="4" s="1"/>
  <c r="R78" i="2"/>
  <c r="R77" i="2"/>
  <c r="R76" i="2"/>
  <c r="R75" i="2"/>
  <c r="R72" i="2"/>
  <c r="R71" i="2"/>
  <c r="R68" i="2"/>
  <c r="T68" i="2" s="1"/>
  <c r="R67" i="2"/>
  <c r="C57" i="2"/>
  <c r="C58" i="2"/>
  <c r="C59" i="2"/>
  <c r="C60" i="2"/>
  <c r="C61" i="2"/>
  <c r="C62" i="2"/>
  <c r="C55" i="2"/>
  <c r="C54" i="2"/>
  <c r="C52" i="2"/>
  <c r="C51" i="2"/>
  <c r="C50" i="2"/>
  <c r="C49" i="2"/>
  <c r="C48" i="2"/>
  <c r="C47" i="2"/>
  <c r="C46" i="2"/>
  <c r="C45" i="2"/>
  <c r="C53" i="2"/>
  <c r="C42" i="2"/>
  <c r="C43" i="2"/>
  <c r="C44" i="2"/>
  <c r="C56" i="2"/>
  <c r="J37" i="2"/>
  <c r="L37" i="2" s="1"/>
  <c r="J32" i="2"/>
  <c r="J57" i="2" s="1"/>
  <c r="H50" i="2"/>
  <c r="F72" i="6"/>
  <c r="E67" i="6"/>
  <c r="I71" i="6" s="1"/>
  <c r="J71" i="6" s="1"/>
  <c r="J19" i="2"/>
  <c r="J46" i="2" s="1"/>
  <c r="J34" i="2"/>
  <c r="L34" i="2" s="1"/>
  <c r="H54" i="2"/>
  <c r="H46" i="2"/>
  <c r="M43" i="2"/>
  <c r="M14" i="2"/>
  <c r="M39" i="2" s="1"/>
  <c r="K14" i="2"/>
  <c r="K43" i="2"/>
  <c r="J59" i="2"/>
  <c r="O14" i="2"/>
  <c r="O39" i="2" s="1"/>
  <c r="O43" i="2"/>
  <c r="Q14" i="2"/>
  <c r="Q39" i="2" s="1"/>
  <c r="Q43" i="2"/>
  <c r="S16" i="2"/>
  <c r="Q220" i="3"/>
  <c r="Q221" i="3" s="1"/>
  <c r="Q222" i="3" s="1"/>
  <c r="Q223" i="3" s="1"/>
  <c r="Q224" i="3" s="1"/>
  <c r="Q225" i="3" s="1"/>
  <c r="Q226" i="3" s="1"/>
  <c r="K190" i="3"/>
  <c r="K191" i="3" s="1"/>
  <c r="Q142" i="3"/>
  <c r="Q143" i="3" s="1"/>
  <c r="Q144" i="3" s="1"/>
  <c r="Q145" i="3" s="1"/>
  <c r="Q146" i="3" s="1"/>
  <c r="Q147" i="3" s="1"/>
  <c r="Q148" i="3" s="1"/>
  <c r="Q190" i="3"/>
  <c r="Q191" i="3" s="1"/>
  <c r="Q192" i="3" s="1"/>
  <c r="Q193" i="3" s="1"/>
  <c r="Q194" i="3" s="1"/>
  <c r="Q195" i="3" s="1"/>
  <c r="Q196" i="3" s="1"/>
  <c r="Q280" i="3"/>
  <c r="Q281" i="3" s="1"/>
  <c r="Q282" i="3" s="1"/>
  <c r="Q283" i="3" s="1"/>
  <c r="Q284" i="3" s="1"/>
  <c r="Q285" i="3" s="1"/>
  <c r="Q286" i="3" s="1"/>
  <c r="Q262" i="3"/>
  <c r="Q263" i="3" s="1"/>
  <c r="Q264" i="3" s="1"/>
  <c r="Q265" i="3" s="1"/>
  <c r="Q266" i="3" s="1"/>
  <c r="Q267" i="3" s="1"/>
  <c r="Q268" i="3" s="1"/>
  <c r="Q202" i="3"/>
  <c r="Q203" i="3" s="1"/>
  <c r="Q204" i="3" s="1"/>
  <c r="Q205" i="3" s="1"/>
  <c r="Q206" i="3" s="1"/>
  <c r="Q207" i="3" s="1"/>
  <c r="Q208" i="3" s="1"/>
  <c r="Q160" i="3"/>
  <c r="Q161" i="3" s="1"/>
  <c r="Q162" i="3" s="1"/>
  <c r="Q163" i="3" s="1"/>
  <c r="Q164" i="3" s="1"/>
  <c r="Q165" i="3" s="1"/>
  <c r="Q166" i="3" s="1"/>
  <c r="Q232" i="3"/>
  <c r="Q233" i="3" s="1"/>
  <c r="Q234" i="3" s="1"/>
  <c r="Q235" i="3" s="1"/>
  <c r="Q236" i="3" s="1"/>
  <c r="Q237" i="3" s="1"/>
  <c r="Q238" i="3" s="1"/>
  <c r="Q172" i="3"/>
  <c r="Q173" i="3" s="1"/>
  <c r="Q174" i="3" s="1"/>
  <c r="Q175" i="3" s="1"/>
  <c r="Q176" i="3" s="1"/>
  <c r="Q177" i="3" s="1"/>
  <c r="Q178" i="3" s="1"/>
  <c r="Q271" i="3"/>
  <c r="Q272" i="3" s="1"/>
  <c r="Q273" i="3" s="1"/>
  <c r="Q274" i="3" s="1"/>
  <c r="Q275" i="3" s="1"/>
  <c r="Q276" i="3" s="1"/>
  <c r="Q277" i="3" s="1"/>
  <c r="Q250" i="3"/>
  <c r="Q251" i="3" s="1"/>
  <c r="Q252" i="3" s="1"/>
  <c r="Q253" i="3" s="1"/>
  <c r="Q254" i="3" s="1"/>
  <c r="Q255" i="3" s="1"/>
  <c r="Q256" i="3" s="1"/>
  <c r="Q151" i="3"/>
  <c r="Q152" i="3" s="1"/>
  <c r="Q153" i="3" s="1"/>
  <c r="Q154" i="3" s="1"/>
  <c r="Q155" i="3" s="1"/>
  <c r="Q156" i="3" s="1"/>
  <c r="Q157" i="3" s="1"/>
  <c r="Q130" i="3"/>
  <c r="Q131" i="3" s="1"/>
  <c r="Q132" i="3" s="1"/>
  <c r="Q133" i="3" s="1"/>
  <c r="Q134" i="3" s="1"/>
  <c r="Q135" i="3" s="1"/>
  <c r="Q136" i="3" s="1"/>
  <c r="Q211" i="3"/>
  <c r="M202" i="3"/>
  <c r="M203" i="3" s="1"/>
  <c r="M204" i="3" s="1"/>
  <c r="M205" i="3" s="1"/>
  <c r="M206" i="3" s="1"/>
  <c r="M207" i="3" s="1"/>
  <c r="M208" i="3" s="1"/>
  <c r="O130" i="3"/>
  <c r="O131" i="3" s="1"/>
  <c r="O132" i="3" s="1"/>
  <c r="O133" i="3" s="1"/>
  <c r="O134" i="3" s="1"/>
  <c r="O135" i="3" s="1"/>
  <c r="O136" i="3" s="1"/>
  <c r="Q241" i="3"/>
  <c r="O241" i="3" s="1"/>
  <c r="O242" i="3" s="1"/>
  <c r="O243" i="3" s="1"/>
  <c r="O244" i="3" s="1"/>
  <c r="O245" i="3" s="1"/>
  <c r="O246" i="3" s="1"/>
  <c r="O247" i="3" s="1"/>
  <c r="Q181" i="3"/>
  <c r="O181" i="3" s="1"/>
  <c r="O182" i="3" s="1"/>
  <c r="O183" i="3" s="1"/>
  <c r="O184" i="3" s="1"/>
  <c r="O185" i="3" s="1"/>
  <c r="O186" i="3" s="1"/>
  <c r="O187" i="3" s="1"/>
  <c r="G82" i="6" l="1"/>
  <c r="I68" i="7"/>
  <c r="J68" i="7" s="1"/>
  <c r="I81" i="6"/>
  <c r="J81" i="6" s="1"/>
  <c r="I77" i="6"/>
  <c r="I79" i="6"/>
  <c r="J79" i="6" s="1"/>
  <c r="I80" i="7"/>
  <c r="J80" i="7" s="1"/>
  <c r="I79" i="7"/>
  <c r="J79" i="7" s="1"/>
  <c r="I81" i="7"/>
  <c r="J81" i="7" s="1"/>
  <c r="I78" i="7"/>
  <c r="J78" i="7" s="1"/>
  <c r="I77" i="7"/>
  <c r="I67" i="6"/>
  <c r="J36" i="2"/>
  <c r="J61" i="2" s="1"/>
  <c r="I70" i="6"/>
  <c r="J70" i="6" s="1"/>
  <c r="I69" i="6"/>
  <c r="J69" i="6" s="1"/>
  <c r="H44" i="2"/>
  <c r="T75" i="2"/>
  <c r="G80" i="7"/>
  <c r="G82" i="7" s="1"/>
  <c r="I68" i="6"/>
  <c r="J68" i="6" s="1"/>
  <c r="G68" i="7"/>
  <c r="G72" i="7" s="1"/>
  <c r="S74" i="2"/>
  <c r="I80" i="6"/>
  <c r="J80" i="6" s="1"/>
  <c r="I78" i="6"/>
  <c r="J78" i="6" s="1"/>
  <c r="F72" i="7"/>
  <c r="E67" i="7" s="1"/>
  <c r="I71" i="7" s="1"/>
  <c r="J71" i="7" s="1"/>
  <c r="J18" i="2"/>
  <c r="L18" i="2" s="1"/>
  <c r="L45" i="2" s="1"/>
  <c r="J21" i="2"/>
  <c r="J48" i="2" s="1"/>
  <c r="H48" i="2"/>
  <c r="S51" i="2"/>
  <c r="T87" i="2"/>
  <c r="R70" i="2"/>
  <c r="T97" i="2"/>
  <c r="T86" i="2"/>
  <c r="R74" i="2"/>
  <c r="C11" i="4"/>
  <c r="S70" i="2"/>
  <c r="S48" i="2"/>
  <c r="N34" i="2"/>
  <c r="L59" i="2"/>
  <c r="T82" i="2"/>
  <c r="J30" i="2"/>
  <c r="J55" i="2" s="1"/>
  <c r="K39" i="2"/>
  <c r="S39" i="2" s="1"/>
  <c r="C16" i="4"/>
  <c r="T83" i="2"/>
  <c r="S52" i="2"/>
  <c r="H56" i="2"/>
  <c r="T90" i="2"/>
  <c r="L19" i="2"/>
  <c r="L46" i="2" s="1"/>
  <c r="T89" i="2"/>
  <c r="T85" i="2"/>
  <c r="L21" i="2"/>
  <c r="T77" i="2"/>
  <c r="C22" i="4"/>
  <c r="L32" i="2"/>
  <c r="J45" i="2"/>
  <c r="T76" i="2"/>
  <c r="C17" i="4"/>
  <c r="K130" i="3"/>
  <c r="K131" i="3" s="1"/>
  <c r="K132" i="3" s="1"/>
  <c r="M130" i="3"/>
  <c r="M131" i="3" s="1"/>
  <c r="B27" i="6"/>
  <c r="B57" i="7"/>
  <c r="B17" i="7"/>
  <c r="B37" i="6"/>
  <c r="B37" i="7"/>
  <c r="B57" i="6"/>
  <c r="S57" i="2"/>
  <c r="S44" i="2"/>
  <c r="Q41" i="2"/>
  <c r="Q64" i="2" s="1"/>
  <c r="Q99" i="2" s="1"/>
  <c r="O41" i="2"/>
  <c r="O64" i="2" s="1"/>
  <c r="O99" i="2" s="1"/>
  <c r="B47" i="7"/>
  <c r="B27" i="7"/>
  <c r="J44" i="2"/>
  <c r="L17" i="2"/>
  <c r="S43" i="2"/>
  <c r="T78" i="2"/>
  <c r="S59" i="2"/>
  <c r="S42" i="2"/>
  <c r="S61" i="2"/>
  <c r="S53" i="2"/>
  <c r="S45" i="2"/>
  <c r="Q11" i="2"/>
  <c r="B58" i="6" s="1"/>
  <c r="J62" i="2"/>
  <c r="H47" i="2"/>
  <c r="T67" i="2"/>
  <c r="S80" i="2"/>
  <c r="S58" i="2"/>
  <c r="S50" i="2"/>
  <c r="S25" i="2"/>
  <c r="T96" i="2"/>
  <c r="S62" i="2"/>
  <c r="S54" i="2"/>
  <c r="S46" i="2"/>
  <c r="S49" i="2"/>
  <c r="S66" i="2"/>
  <c r="S55" i="2"/>
  <c r="S47" i="2"/>
  <c r="R66" i="2"/>
  <c r="J33" i="2"/>
  <c r="L33" i="2" s="1"/>
  <c r="N33" i="2" s="1"/>
  <c r="T71" i="2"/>
  <c r="T72" i="2"/>
  <c r="N18" i="2"/>
  <c r="J53" i="2"/>
  <c r="L28" i="2"/>
  <c r="L29" i="2"/>
  <c r="J54" i="2"/>
  <c r="N59" i="2"/>
  <c r="P34" i="2"/>
  <c r="P59" i="2" s="1"/>
  <c r="L31" i="2"/>
  <c r="J56" i="2"/>
  <c r="B18" i="7"/>
  <c r="B18" i="6"/>
  <c r="C17" i="6" s="1"/>
  <c r="J47" i="2"/>
  <c r="L20" i="2"/>
  <c r="J52" i="2"/>
  <c r="L27" i="2"/>
  <c r="B28" i="7"/>
  <c r="B28" i="6"/>
  <c r="B48" i="7"/>
  <c r="B48" i="6"/>
  <c r="L23" i="2"/>
  <c r="J50" i="2"/>
  <c r="B38" i="6"/>
  <c r="B38" i="7"/>
  <c r="N37" i="2"/>
  <c r="L62" i="2"/>
  <c r="T74" i="2"/>
  <c r="L22" i="2"/>
  <c r="J49" i="2"/>
  <c r="I41" i="2"/>
  <c r="I64" i="2" s="1"/>
  <c r="I99" i="2" s="1"/>
  <c r="I100" i="2" s="1"/>
  <c r="T88" i="2"/>
  <c r="T81" i="2"/>
  <c r="J26" i="2"/>
  <c r="H52" i="2"/>
  <c r="B47" i="6"/>
  <c r="H53" i="2"/>
  <c r="S14" i="2"/>
  <c r="L36" i="2"/>
  <c r="J35" i="2"/>
  <c r="H49" i="2"/>
  <c r="S60" i="2"/>
  <c r="H25" i="2"/>
  <c r="J16" i="2"/>
  <c r="C12" i="4"/>
  <c r="T84" i="2"/>
  <c r="M41" i="2"/>
  <c r="M64" i="2" s="1"/>
  <c r="M99" i="2" s="1"/>
  <c r="K41" i="2"/>
  <c r="O142" i="3"/>
  <c r="O143" i="3" s="1"/>
  <c r="O144" i="3" s="1"/>
  <c r="O145" i="3" s="1"/>
  <c r="O146" i="3" s="1"/>
  <c r="O147" i="3" s="1"/>
  <c r="O148" i="3" s="1"/>
  <c r="O151" i="3"/>
  <c r="O152" i="3" s="1"/>
  <c r="O153" i="3" s="1"/>
  <c r="O154" i="3" s="1"/>
  <c r="O155" i="3" s="1"/>
  <c r="O156" i="3" s="1"/>
  <c r="O157" i="3" s="1"/>
  <c r="K252" i="3"/>
  <c r="K221" i="3"/>
  <c r="K222" i="3" s="1"/>
  <c r="Q182" i="3"/>
  <c r="Q183" i="3" s="1"/>
  <c r="Q184" i="3" s="1"/>
  <c r="Q185" i="3" s="1"/>
  <c r="Q186" i="3" s="1"/>
  <c r="Q187" i="3" s="1"/>
  <c r="Q242" i="3"/>
  <c r="Q243" i="3" s="1"/>
  <c r="Q244" i="3" s="1"/>
  <c r="Q245" i="3" s="1"/>
  <c r="Q246" i="3" s="1"/>
  <c r="Q247" i="3" s="1"/>
  <c r="O121" i="3"/>
  <c r="M172" i="3"/>
  <c r="M173" i="3" s="1"/>
  <c r="M174" i="3" s="1"/>
  <c r="M175" i="3" s="1"/>
  <c r="M176" i="3" s="1"/>
  <c r="M177" i="3" s="1"/>
  <c r="M178" i="3" s="1"/>
  <c r="K162" i="3"/>
  <c r="M112" i="3"/>
  <c r="M113" i="3" s="1"/>
  <c r="M114" i="3" s="1"/>
  <c r="M115" i="3" s="1"/>
  <c r="M116" i="3" s="1"/>
  <c r="M117" i="3" s="1"/>
  <c r="M118" i="3" s="1"/>
  <c r="Q212" i="3"/>
  <c r="Q213" i="3" s="1"/>
  <c r="Q214" i="3" s="1"/>
  <c r="Q215" i="3" s="1"/>
  <c r="Q216" i="3" s="1"/>
  <c r="Q217" i="3" s="1"/>
  <c r="O211" i="3"/>
  <c r="K113" i="3"/>
  <c r="K114" i="3" s="1"/>
  <c r="K115" i="3" s="1"/>
  <c r="K116" i="3" s="1"/>
  <c r="K117" i="3" s="1"/>
  <c r="K118" i="3" s="1"/>
  <c r="M164" i="3"/>
  <c r="M165" i="3" s="1"/>
  <c r="M166" i="3" s="1"/>
  <c r="M193" i="3"/>
  <c r="M151" i="3"/>
  <c r="K192" i="3"/>
  <c r="M181" i="3"/>
  <c r="O271" i="3"/>
  <c r="M221" i="3"/>
  <c r="M241" i="3"/>
  <c r="M142" i="3"/>
  <c r="O172" i="3"/>
  <c r="O173" i="3" s="1"/>
  <c r="O174" i="3" s="1"/>
  <c r="O175" i="3" s="1"/>
  <c r="O176" i="3" s="1"/>
  <c r="O177" i="3" s="1"/>
  <c r="O178" i="3" s="1"/>
  <c r="Q113" i="3"/>
  <c r="Q114" i="3" s="1"/>
  <c r="Q115" i="3" s="1"/>
  <c r="Q116" i="3" s="1"/>
  <c r="Q117" i="3" s="1"/>
  <c r="Q118" i="3" s="1"/>
  <c r="M250" i="3"/>
  <c r="H14" i="2"/>
  <c r="J15" i="2"/>
  <c r="H42" i="2"/>
  <c r="L30" i="2" l="1"/>
  <c r="J67" i="6"/>
  <c r="J72" i="6" s="1"/>
  <c r="I72" i="6"/>
  <c r="I82" i="7"/>
  <c r="J77" i="7"/>
  <c r="J82" i="7" s="1"/>
  <c r="I70" i="7"/>
  <c r="J70" i="7" s="1"/>
  <c r="I67" i="7"/>
  <c r="I69" i="7"/>
  <c r="J69" i="7" s="1"/>
  <c r="J77" i="6"/>
  <c r="J82" i="6" s="1"/>
  <c r="I82" i="6"/>
  <c r="O102" i="2"/>
  <c r="D47" i="7" s="1"/>
  <c r="D52" i="7" s="1"/>
  <c r="O100" i="2"/>
  <c r="Q102" i="2"/>
  <c r="D57" i="7" s="1"/>
  <c r="D62" i="7" s="1"/>
  <c r="Q100" i="2"/>
  <c r="M102" i="2"/>
  <c r="D37" i="7" s="1"/>
  <c r="D42" i="7" s="1"/>
  <c r="M100" i="2"/>
  <c r="T70" i="2"/>
  <c r="R59" i="2"/>
  <c r="T59" i="2" s="1"/>
  <c r="T66" i="2"/>
  <c r="N19" i="2"/>
  <c r="C27" i="6"/>
  <c r="L57" i="2"/>
  <c r="N32" i="2"/>
  <c r="N21" i="2"/>
  <c r="L48" i="2"/>
  <c r="J58" i="2"/>
  <c r="H58" i="6"/>
  <c r="H57" i="6"/>
  <c r="F60" i="6"/>
  <c r="G60" i="6" s="1"/>
  <c r="F59" i="6"/>
  <c r="G59" i="6" s="1"/>
  <c r="H59" i="6"/>
  <c r="N30" i="2"/>
  <c r="L55" i="2"/>
  <c r="F58" i="6"/>
  <c r="G58" i="6" s="1"/>
  <c r="C10" i="4"/>
  <c r="F61" i="6"/>
  <c r="G61" i="6" s="1"/>
  <c r="H60" i="6"/>
  <c r="B58" i="7"/>
  <c r="F58" i="7" s="1"/>
  <c r="G58" i="7" s="1"/>
  <c r="L58" i="2"/>
  <c r="H61" i="6"/>
  <c r="F57" i="6"/>
  <c r="G57" i="6" s="1"/>
  <c r="N17" i="2"/>
  <c r="L44" i="2"/>
  <c r="N46" i="2"/>
  <c r="P19" i="2"/>
  <c r="C57" i="6"/>
  <c r="H39" i="2"/>
  <c r="C37" i="7"/>
  <c r="F37" i="7"/>
  <c r="H41" i="7"/>
  <c r="F38" i="7"/>
  <c r="G38" i="7" s="1"/>
  <c r="H37" i="7"/>
  <c r="H40" i="7"/>
  <c r="H38" i="7"/>
  <c r="F39" i="7"/>
  <c r="G39" i="7" s="1"/>
  <c r="F40" i="7"/>
  <c r="G40" i="7" s="1"/>
  <c r="H39" i="7"/>
  <c r="F41" i="7"/>
  <c r="G41" i="7" s="1"/>
  <c r="J43" i="2"/>
  <c r="L16" i="2"/>
  <c r="H40" i="6"/>
  <c r="F40" i="6"/>
  <c r="G40" i="6" s="1"/>
  <c r="F37" i="6"/>
  <c r="F38" i="6"/>
  <c r="G38" i="6" s="1"/>
  <c r="H38" i="6"/>
  <c r="H37" i="6"/>
  <c r="F39" i="6"/>
  <c r="G39" i="6" s="1"/>
  <c r="H41" i="6"/>
  <c r="F41" i="6"/>
  <c r="G41" i="6" s="1"/>
  <c r="H39" i="6"/>
  <c r="C37" i="6"/>
  <c r="N20" i="2"/>
  <c r="L47" i="2"/>
  <c r="N36" i="2"/>
  <c r="L61" i="2"/>
  <c r="F27" i="6"/>
  <c r="F30" i="6"/>
  <c r="G30" i="6" s="1"/>
  <c r="H27" i="6"/>
  <c r="H29" i="6"/>
  <c r="H31" i="6"/>
  <c r="F31" i="6"/>
  <c r="G31" i="6" s="1"/>
  <c r="F28" i="6"/>
  <c r="G28" i="6" s="1"/>
  <c r="H28" i="6"/>
  <c r="F29" i="6"/>
  <c r="G29" i="6" s="1"/>
  <c r="H30" i="6"/>
  <c r="J60" i="2"/>
  <c r="L35" i="2"/>
  <c r="N31" i="2"/>
  <c r="L56" i="2"/>
  <c r="N29" i="2"/>
  <c r="L54" i="2"/>
  <c r="C27" i="7"/>
  <c r="H29" i="7"/>
  <c r="F28" i="7"/>
  <c r="G28" i="7" s="1"/>
  <c r="F30" i="7"/>
  <c r="G30" i="7" s="1"/>
  <c r="F27" i="7"/>
  <c r="H30" i="7"/>
  <c r="H28" i="7"/>
  <c r="F29" i="7"/>
  <c r="G29" i="7" s="1"/>
  <c r="F31" i="7"/>
  <c r="G31" i="7" s="1"/>
  <c r="H27" i="7"/>
  <c r="H31" i="7"/>
  <c r="R34" i="2"/>
  <c r="T34" i="2" s="1"/>
  <c r="L26" i="2"/>
  <c r="J51" i="2"/>
  <c r="J25" i="2"/>
  <c r="N23" i="2"/>
  <c r="L50" i="2"/>
  <c r="N28" i="2"/>
  <c r="L53" i="2"/>
  <c r="F48" i="7"/>
  <c r="H47" i="7"/>
  <c r="H51" i="7"/>
  <c r="C47" i="7"/>
  <c r="H49" i="7"/>
  <c r="H48" i="7"/>
  <c r="F47" i="7"/>
  <c r="F50" i="7"/>
  <c r="H50" i="7"/>
  <c r="F51" i="7"/>
  <c r="F49" i="7"/>
  <c r="N27" i="2"/>
  <c r="L52" i="2"/>
  <c r="H21" i="6"/>
  <c r="F19" i="6"/>
  <c r="G19" i="6" s="1"/>
  <c r="F18" i="6"/>
  <c r="G18" i="6" s="1"/>
  <c r="F20" i="6"/>
  <c r="G20" i="6" s="1"/>
  <c r="F17" i="6"/>
  <c r="F21" i="6"/>
  <c r="G21" i="6" s="1"/>
  <c r="H18" i="6"/>
  <c r="H20" i="6"/>
  <c r="H19" i="6"/>
  <c r="H17" i="6"/>
  <c r="N22" i="2"/>
  <c r="L49" i="2"/>
  <c r="H48" i="6"/>
  <c r="F50" i="6"/>
  <c r="G50" i="6" s="1"/>
  <c r="F48" i="6"/>
  <c r="G48" i="6" s="1"/>
  <c r="F47" i="6"/>
  <c r="H51" i="6"/>
  <c r="H49" i="6"/>
  <c r="H50" i="6"/>
  <c r="F49" i="6"/>
  <c r="G49" i="6" s="1"/>
  <c r="F51" i="6"/>
  <c r="G51" i="6" s="1"/>
  <c r="H47" i="6"/>
  <c r="C47" i="6"/>
  <c r="N62" i="2"/>
  <c r="P37" i="2"/>
  <c r="P62" i="2" s="1"/>
  <c r="N58" i="2"/>
  <c r="P33" i="2"/>
  <c r="H21" i="7"/>
  <c r="H19" i="7"/>
  <c r="H17" i="7"/>
  <c r="F17" i="7"/>
  <c r="C17" i="7"/>
  <c r="F18" i="7"/>
  <c r="G18" i="7" s="1"/>
  <c r="H18" i="7"/>
  <c r="F21" i="7"/>
  <c r="G21" i="7" s="1"/>
  <c r="F19" i="7"/>
  <c r="G19" i="7" s="1"/>
  <c r="H20" i="7"/>
  <c r="F20" i="7"/>
  <c r="G20" i="7" s="1"/>
  <c r="N45" i="2"/>
  <c r="P18" i="2"/>
  <c r="S41" i="2"/>
  <c r="K64" i="2"/>
  <c r="I102" i="2"/>
  <c r="K253" i="3"/>
  <c r="M251" i="3"/>
  <c r="K89" i="3" s="1"/>
  <c r="K88" i="3" s="1"/>
  <c r="H95" i="2" s="1"/>
  <c r="M121" i="3"/>
  <c r="O122" i="3"/>
  <c r="O123" i="3" s="1"/>
  <c r="O124" i="3" s="1"/>
  <c r="O125" i="3" s="1"/>
  <c r="O126" i="3" s="1"/>
  <c r="O127" i="3" s="1"/>
  <c r="K223" i="3"/>
  <c r="M211" i="3"/>
  <c r="O212" i="3"/>
  <c r="O213" i="3" s="1"/>
  <c r="O214" i="3" s="1"/>
  <c r="O215" i="3" s="1"/>
  <c r="O216" i="3" s="1"/>
  <c r="O217" i="3" s="1"/>
  <c r="M182" i="3"/>
  <c r="K47" i="3" s="1"/>
  <c r="K46" i="3" s="1"/>
  <c r="H93" i="2" s="1"/>
  <c r="K181" i="3"/>
  <c r="K193" i="3"/>
  <c r="M132" i="3"/>
  <c r="K163" i="3"/>
  <c r="K241" i="3"/>
  <c r="K242" i="3" s="1"/>
  <c r="K90" i="3" s="1"/>
  <c r="M242" i="3"/>
  <c r="M243" i="3" s="1"/>
  <c r="M244" i="3" s="1"/>
  <c r="M245" i="3" s="1"/>
  <c r="M246" i="3" s="1"/>
  <c r="M247" i="3" s="1"/>
  <c r="K151" i="3"/>
  <c r="M152" i="3"/>
  <c r="M153" i="3" s="1"/>
  <c r="M154" i="3" s="1"/>
  <c r="M155" i="3" s="1"/>
  <c r="M156" i="3" s="1"/>
  <c r="M157" i="3" s="1"/>
  <c r="M222" i="3"/>
  <c r="M194" i="3"/>
  <c r="M195" i="3" s="1"/>
  <c r="M196" i="3" s="1"/>
  <c r="M143" i="3"/>
  <c r="K133" i="3"/>
  <c r="M271" i="3"/>
  <c r="O272" i="3"/>
  <c r="O273" i="3" s="1"/>
  <c r="O274" i="3" s="1"/>
  <c r="O275" i="3" s="1"/>
  <c r="O276" i="3" s="1"/>
  <c r="O277" i="3" s="1"/>
  <c r="H41" i="2"/>
  <c r="I72" i="7" l="1"/>
  <c r="J67" i="7"/>
  <c r="J72" i="7" s="1"/>
  <c r="H60" i="7"/>
  <c r="K27" i="3"/>
  <c r="K26" i="3" s="1"/>
  <c r="H92" i="2" s="1"/>
  <c r="P21" i="2"/>
  <c r="N48" i="2"/>
  <c r="N57" i="2"/>
  <c r="P32" i="2"/>
  <c r="P57" i="2" s="1"/>
  <c r="H62" i="6"/>
  <c r="H59" i="7"/>
  <c r="H61" i="7"/>
  <c r="G62" i="6"/>
  <c r="H57" i="7"/>
  <c r="F57" i="7"/>
  <c r="G57" i="7" s="1"/>
  <c r="F59" i="7"/>
  <c r="G59" i="7" s="1"/>
  <c r="F61" i="7"/>
  <c r="G61" i="7" s="1"/>
  <c r="F62" i="6"/>
  <c r="H58" i="7"/>
  <c r="C57" i="7"/>
  <c r="F60" i="7"/>
  <c r="G60" i="7" s="1"/>
  <c r="P46" i="2"/>
  <c r="R19" i="2"/>
  <c r="T19" i="2" s="1"/>
  <c r="R62" i="2"/>
  <c r="T62" i="2" s="1"/>
  <c r="R46" i="2"/>
  <c r="T46" i="2" s="1"/>
  <c r="N44" i="2"/>
  <c r="P17" i="2"/>
  <c r="P44" i="2" s="1"/>
  <c r="N55" i="2"/>
  <c r="H32" i="6"/>
  <c r="H22" i="7"/>
  <c r="H22" i="6"/>
  <c r="G49" i="7"/>
  <c r="H52" i="7"/>
  <c r="H32" i="7"/>
  <c r="F22" i="7"/>
  <c r="G17" i="7"/>
  <c r="G22" i="7" s="1"/>
  <c r="G48" i="7"/>
  <c r="N61" i="2"/>
  <c r="P36" i="2"/>
  <c r="L43" i="2"/>
  <c r="N16" i="2"/>
  <c r="P22" i="2"/>
  <c r="P49" i="2" s="1"/>
  <c r="N49" i="2"/>
  <c r="G50" i="7"/>
  <c r="L25" i="2"/>
  <c r="L51" i="2"/>
  <c r="N26" i="2"/>
  <c r="H42" i="7"/>
  <c r="R37" i="2"/>
  <c r="T37" i="2" s="1"/>
  <c r="P45" i="2"/>
  <c r="R45" i="2" s="1"/>
  <c r="T45" i="2" s="1"/>
  <c r="R18" i="2"/>
  <c r="T18" i="2" s="1"/>
  <c r="H42" i="6"/>
  <c r="F52" i="6"/>
  <c r="G47" i="6"/>
  <c r="G52" i="6" s="1"/>
  <c r="N53" i="2"/>
  <c r="P20" i="2"/>
  <c r="N47" i="2"/>
  <c r="G17" i="6"/>
  <c r="G22" i="6" s="1"/>
  <c r="F22" i="6"/>
  <c r="F52" i="7"/>
  <c r="E47" i="7" s="1"/>
  <c r="I47" i="7" s="1"/>
  <c r="G47" i="7"/>
  <c r="N54" i="2"/>
  <c r="P29" i="2"/>
  <c r="P54" i="2" s="1"/>
  <c r="P58" i="2"/>
  <c r="R58" i="2" s="1"/>
  <c r="T58" i="2" s="1"/>
  <c r="R33" i="2"/>
  <c r="T33" i="2" s="1"/>
  <c r="G27" i="7"/>
  <c r="G32" i="7" s="1"/>
  <c r="F32" i="7"/>
  <c r="P31" i="2"/>
  <c r="P56" i="2" s="1"/>
  <c r="N56" i="2"/>
  <c r="G27" i="6"/>
  <c r="G32" i="6" s="1"/>
  <c r="F32" i="6"/>
  <c r="G37" i="7"/>
  <c r="G42" i="7" s="1"/>
  <c r="F42" i="7"/>
  <c r="E37" i="7" s="1"/>
  <c r="I39" i="7" s="1"/>
  <c r="J39" i="7" s="1"/>
  <c r="G51" i="7"/>
  <c r="H52" i="6"/>
  <c r="N52" i="2"/>
  <c r="P27" i="2"/>
  <c r="P52" i="2" s="1"/>
  <c r="P23" i="2"/>
  <c r="P50" i="2" s="1"/>
  <c r="N50" i="2"/>
  <c r="N35" i="2"/>
  <c r="L60" i="2"/>
  <c r="F42" i="6"/>
  <c r="G37" i="6"/>
  <c r="G42" i="6" s="1"/>
  <c r="K99" i="2"/>
  <c r="K100" i="2" s="1"/>
  <c r="S100" i="2" s="1"/>
  <c r="S64" i="2"/>
  <c r="D17" i="7"/>
  <c r="K243" i="3"/>
  <c r="K254" i="3"/>
  <c r="K255" i="3" s="1"/>
  <c r="K256" i="3" s="1"/>
  <c r="M122" i="3"/>
  <c r="K7" i="3" s="1"/>
  <c r="K6" i="3" s="1"/>
  <c r="H91" i="2" s="1"/>
  <c r="H80" i="2" s="1"/>
  <c r="K121" i="3"/>
  <c r="M252" i="3"/>
  <c r="M89" i="3" s="1"/>
  <c r="M88" i="3" s="1"/>
  <c r="J95" i="2" s="1"/>
  <c r="K182" i="3"/>
  <c r="K48" i="3" s="1"/>
  <c r="K271" i="3"/>
  <c r="K272" i="3" s="1"/>
  <c r="K273" i="3" s="1"/>
  <c r="K274" i="3" s="1"/>
  <c r="K275" i="3" s="1"/>
  <c r="K276" i="3" s="1"/>
  <c r="K277" i="3" s="1"/>
  <c r="M272" i="3"/>
  <c r="M273" i="3" s="1"/>
  <c r="M274" i="3" s="1"/>
  <c r="M275" i="3" s="1"/>
  <c r="M276" i="3" s="1"/>
  <c r="M277" i="3" s="1"/>
  <c r="K164" i="3"/>
  <c r="K165" i="3" s="1"/>
  <c r="K166" i="3" s="1"/>
  <c r="M223" i="3"/>
  <c r="M183" i="3"/>
  <c r="M47" i="3" s="1"/>
  <c r="M46" i="3" s="1"/>
  <c r="J93" i="2" s="1"/>
  <c r="K134" i="3"/>
  <c r="K135" i="3" s="1"/>
  <c r="K136" i="3" s="1"/>
  <c r="M144" i="3"/>
  <c r="M27" i="3" s="1"/>
  <c r="M26" i="3" s="1"/>
  <c r="J92" i="2" s="1"/>
  <c r="K152" i="3"/>
  <c r="K28" i="3" s="1"/>
  <c r="M133" i="3"/>
  <c r="M212" i="3"/>
  <c r="K68" i="3" s="1"/>
  <c r="K67" i="3" s="1"/>
  <c r="H94" i="2" s="1"/>
  <c r="K211" i="3"/>
  <c r="K194" i="3"/>
  <c r="K195" i="3" s="1"/>
  <c r="K196" i="3" s="1"/>
  <c r="K224" i="3"/>
  <c r="K225" i="3" s="1"/>
  <c r="K226" i="3" s="1"/>
  <c r="H64" i="2"/>
  <c r="H99" i="2" l="1"/>
  <c r="H100" i="2" s="1"/>
  <c r="R52" i="2"/>
  <c r="T52" i="2" s="1"/>
  <c r="R56" i="2"/>
  <c r="T56" i="2" s="1"/>
  <c r="R22" i="2"/>
  <c r="T22" i="2" s="1"/>
  <c r="R32" i="2"/>
  <c r="T32" i="2" s="1"/>
  <c r="H62" i="7"/>
  <c r="R50" i="2"/>
  <c r="T50" i="2" s="1"/>
  <c r="R31" i="2"/>
  <c r="T31" i="2" s="1"/>
  <c r="R57" i="2"/>
  <c r="T57" i="2" s="1"/>
  <c r="R17" i="2"/>
  <c r="T17" i="2" s="1"/>
  <c r="P48" i="2"/>
  <c r="R48" i="2" s="1"/>
  <c r="T48" i="2" s="1"/>
  <c r="R21" i="2"/>
  <c r="T21" i="2" s="1"/>
  <c r="I49" i="7"/>
  <c r="J49" i="7" s="1"/>
  <c r="F62" i="7"/>
  <c r="E57" i="7" s="1"/>
  <c r="I58" i="7" s="1"/>
  <c r="J58" i="7" s="1"/>
  <c r="I40" i="7"/>
  <c r="J40" i="7" s="1"/>
  <c r="R27" i="2"/>
  <c r="T27" i="2" s="1"/>
  <c r="R44" i="2"/>
  <c r="T44" i="2" s="1"/>
  <c r="R55" i="2"/>
  <c r="T55" i="2" s="1"/>
  <c r="R30" i="2"/>
  <c r="T30" i="2" s="1"/>
  <c r="I48" i="7"/>
  <c r="J48" i="7" s="1"/>
  <c r="I50" i="7"/>
  <c r="J50" i="7" s="1"/>
  <c r="I51" i="7"/>
  <c r="J51" i="7" s="1"/>
  <c r="N43" i="2"/>
  <c r="P16" i="2"/>
  <c r="P43" i="2" s="1"/>
  <c r="P47" i="2"/>
  <c r="R47" i="2" s="1"/>
  <c r="T47" i="2" s="1"/>
  <c r="R20" i="2"/>
  <c r="T20" i="2" s="1"/>
  <c r="R54" i="2"/>
  <c r="T54" i="2" s="1"/>
  <c r="P61" i="2"/>
  <c r="R61" i="2" s="1"/>
  <c r="T61" i="2" s="1"/>
  <c r="R36" i="2"/>
  <c r="T36" i="2" s="1"/>
  <c r="R53" i="2"/>
  <c r="T53" i="2" s="1"/>
  <c r="R28" i="2"/>
  <c r="T28" i="2" s="1"/>
  <c r="R23" i="2"/>
  <c r="T23" i="2" s="1"/>
  <c r="P35" i="2"/>
  <c r="P60" i="2" s="1"/>
  <c r="N60" i="2"/>
  <c r="N25" i="2"/>
  <c r="N51" i="2"/>
  <c r="I38" i="7"/>
  <c r="J38" i="7" s="1"/>
  <c r="I37" i="7"/>
  <c r="I41" i="7"/>
  <c r="J41" i="7" s="1"/>
  <c r="R29" i="2"/>
  <c r="T29" i="2" s="1"/>
  <c r="G52" i="7"/>
  <c r="J47" i="7"/>
  <c r="R35" i="2"/>
  <c r="T35" i="2" s="1"/>
  <c r="R49" i="2"/>
  <c r="T49" i="2" s="1"/>
  <c r="G62" i="7"/>
  <c r="D22" i="7"/>
  <c r="E17" i="7"/>
  <c r="K102" i="2"/>
  <c r="S99" i="2"/>
  <c r="K244" i="3"/>
  <c r="O90" i="3" s="1"/>
  <c r="M253" i="3"/>
  <c r="O89" i="3" s="1"/>
  <c r="O88" i="3" s="1"/>
  <c r="L95" i="2" s="1"/>
  <c r="K122" i="3"/>
  <c r="K8" i="3" s="1"/>
  <c r="M123" i="3"/>
  <c r="M7" i="3" s="1"/>
  <c r="M6" i="3" s="1"/>
  <c r="J91" i="2" s="1"/>
  <c r="J80" i="2" s="1"/>
  <c r="M134" i="3"/>
  <c r="M135" i="3" s="1"/>
  <c r="M136" i="3" s="1"/>
  <c r="M184" i="3"/>
  <c r="O47" i="3" s="1"/>
  <c r="O46" i="3" s="1"/>
  <c r="L93" i="2" s="1"/>
  <c r="Q47" i="3"/>
  <c r="Q46" i="3" s="1"/>
  <c r="N93" i="2" s="1"/>
  <c r="K153" i="3"/>
  <c r="M28" i="3" s="1"/>
  <c r="M213" i="3"/>
  <c r="M68" i="3" s="1"/>
  <c r="M67" i="3" s="1"/>
  <c r="J94" i="2" s="1"/>
  <c r="M145" i="3"/>
  <c r="O27" i="3" s="1"/>
  <c r="O26" i="3" s="1"/>
  <c r="L92" i="2" s="1"/>
  <c r="K183" i="3"/>
  <c r="M48" i="3" s="1"/>
  <c r="M224" i="3"/>
  <c r="M225" i="3" s="1"/>
  <c r="M226" i="3" s="1"/>
  <c r="K212" i="3"/>
  <c r="K69" i="3" s="1"/>
  <c r="H102" i="2" l="1"/>
  <c r="R16" i="2"/>
  <c r="T16" i="2" s="1"/>
  <c r="Q90" i="3"/>
  <c r="R60" i="2"/>
  <c r="T60" i="2" s="1"/>
  <c r="M124" i="3"/>
  <c r="O7" i="3" s="1"/>
  <c r="O6" i="3" s="1"/>
  <c r="L91" i="2" s="1"/>
  <c r="Q7" i="3"/>
  <c r="Q6" i="3" s="1"/>
  <c r="N91" i="2" s="1"/>
  <c r="I59" i="7"/>
  <c r="J59" i="7" s="1"/>
  <c r="I60" i="7"/>
  <c r="J60" i="7" s="1"/>
  <c r="I57" i="7"/>
  <c r="I61" i="7"/>
  <c r="J61" i="7" s="1"/>
  <c r="I52" i="7"/>
  <c r="O106" i="2" s="1"/>
  <c r="J52" i="7"/>
  <c r="J37" i="7"/>
  <c r="J42" i="7" s="1"/>
  <c r="I42" i="7"/>
  <c r="M106" i="2" s="1"/>
  <c r="R43" i="2"/>
  <c r="T43" i="2" s="1"/>
  <c r="P51" i="2"/>
  <c r="R51" i="2" s="1"/>
  <c r="T51" i="2" s="1"/>
  <c r="R25" i="2"/>
  <c r="T25" i="2" s="1"/>
  <c r="R26" i="2"/>
  <c r="T26" i="2" s="1"/>
  <c r="D27" i="7"/>
  <c r="S102" i="2"/>
  <c r="I17" i="7"/>
  <c r="I18" i="7"/>
  <c r="J18" i="7" s="1"/>
  <c r="I21" i="7"/>
  <c r="J21" i="7" s="1"/>
  <c r="I19" i="7"/>
  <c r="J19" i="7" s="1"/>
  <c r="I20" i="7"/>
  <c r="J20" i="7" s="1"/>
  <c r="K245" i="3"/>
  <c r="K246" i="3" s="1"/>
  <c r="K247" i="3" s="1"/>
  <c r="S90" i="3"/>
  <c r="K123" i="3"/>
  <c r="M8" i="3" s="1"/>
  <c r="M254" i="3"/>
  <c r="M185" i="3"/>
  <c r="M186" i="3" s="1"/>
  <c r="M187" i="3" s="1"/>
  <c r="S47" i="3"/>
  <c r="S46" i="3" s="1"/>
  <c r="P93" i="2" s="1"/>
  <c r="R93" i="2" s="1"/>
  <c r="T93" i="2" s="1"/>
  <c r="K213" i="3"/>
  <c r="K184" i="3"/>
  <c r="O48" i="3" s="1"/>
  <c r="M214" i="3"/>
  <c r="O68" i="3" s="1"/>
  <c r="O67" i="3" s="1"/>
  <c r="L94" i="2" s="1"/>
  <c r="Q68" i="3"/>
  <c r="Q67" i="3" s="1"/>
  <c r="N94" i="2" s="1"/>
  <c r="M146" i="3"/>
  <c r="K154" i="3"/>
  <c r="L80" i="2" l="1"/>
  <c r="Q48" i="3"/>
  <c r="M90" i="3"/>
  <c r="M69" i="3"/>
  <c r="M255" i="3"/>
  <c r="Q89" i="3"/>
  <c r="Q88" i="3" s="1"/>
  <c r="N95" i="2" s="1"/>
  <c r="M147" i="3"/>
  <c r="Q27" i="3"/>
  <c r="Q26" i="3" s="1"/>
  <c r="N92" i="2" s="1"/>
  <c r="N80" i="2" s="1"/>
  <c r="K155" i="3"/>
  <c r="K156" i="3" s="1"/>
  <c r="O28" i="3"/>
  <c r="Q28" i="3"/>
  <c r="K124" i="3"/>
  <c r="O8" i="3" s="1"/>
  <c r="M125" i="3"/>
  <c r="M126" i="3" s="1"/>
  <c r="M127" i="3" s="1"/>
  <c r="S7" i="3"/>
  <c r="S6" i="3" s="1"/>
  <c r="P91" i="2" s="1"/>
  <c r="R91" i="2" s="1"/>
  <c r="I62" i="7"/>
  <c r="Q106" i="2" s="1"/>
  <c r="J57" i="7"/>
  <c r="J62" i="7" s="1"/>
  <c r="D32" i="7"/>
  <c r="D12" i="7" s="1"/>
  <c r="E27" i="7"/>
  <c r="J17" i="7"/>
  <c r="J22" i="7" s="1"/>
  <c r="I22" i="7"/>
  <c r="I106" i="2" s="1"/>
  <c r="K185" i="3"/>
  <c r="K186" i="3" s="1"/>
  <c r="K187" i="3" s="1"/>
  <c r="S48" i="3"/>
  <c r="M215" i="3"/>
  <c r="M216" i="3" s="1"/>
  <c r="M217" i="3" s="1"/>
  <c r="K214" i="3"/>
  <c r="O69" i="3" s="1"/>
  <c r="Q69" i="3"/>
  <c r="D17" i="6"/>
  <c r="K157" i="3" l="1"/>
  <c r="S28" i="3"/>
  <c r="M148" i="3"/>
  <c r="S27" i="3"/>
  <c r="S26" i="3" s="1"/>
  <c r="P92" i="2" s="1"/>
  <c r="R92" i="2" s="1"/>
  <c r="T92" i="2" s="1"/>
  <c r="Q8" i="3"/>
  <c r="M256" i="3"/>
  <c r="S89" i="3"/>
  <c r="S88" i="3" s="1"/>
  <c r="P95" i="2" s="1"/>
  <c r="R95" i="2" s="1"/>
  <c r="T95" i="2" s="1"/>
  <c r="S68" i="3"/>
  <c r="S67" i="3" s="1"/>
  <c r="P94" i="2" s="1"/>
  <c r="R94" i="2" s="1"/>
  <c r="T94" i="2" s="1"/>
  <c r="T91" i="2"/>
  <c r="K125" i="3"/>
  <c r="K126" i="3" s="1"/>
  <c r="K127" i="3" s="1"/>
  <c r="S8" i="3"/>
  <c r="I29" i="7"/>
  <c r="J29" i="7" s="1"/>
  <c r="I30" i="7"/>
  <c r="J30" i="7" s="1"/>
  <c r="I28" i="7"/>
  <c r="J28" i="7" s="1"/>
  <c r="I31" i="7"/>
  <c r="J31" i="7" s="1"/>
  <c r="I27" i="7"/>
  <c r="K215" i="3"/>
  <c r="K216" i="3" s="1"/>
  <c r="K217" i="3" s="1"/>
  <c r="S69" i="3"/>
  <c r="D22" i="6"/>
  <c r="E17" i="6"/>
  <c r="P80" i="2" l="1"/>
  <c r="R80" i="2" s="1"/>
  <c r="T80" i="2" s="1"/>
  <c r="C13" i="4"/>
  <c r="I32" i="7"/>
  <c r="J27" i="7"/>
  <c r="J32" i="7" s="1"/>
  <c r="I20" i="6"/>
  <c r="J20" i="6" s="1"/>
  <c r="I18" i="6"/>
  <c r="J18" i="6" s="1"/>
  <c r="I21" i="6"/>
  <c r="J21" i="6" s="1"/>
  <c r="I17" i="6"/>
  <c r="I19" i="6"/>
  <c r="J19" i="6" s="1"/>
  <c r="K106" i="2" l="1"/>
  <c r="I12" i="7"/>
  <c r="I22" i="6"/>
  <c r="H106" i="2" s="1"/>
  <c r="I107" i="2" s="1"/>
  <c r="J17" i="6"/>
  <c r="J22" i="6" s="1"/>
  <c r="S106" i="2" l="1"/>
  <c r="I105" i="2"/>
  <c r="H105" i="2"/>
  <c r="H110" i="2" s="1"/>
  <c r="H113" i="2" s="1"/>
  <c r="I110" i="2" l="1"/>
  <c r="I113" i="2" s="1"/>
  <c r="J42" i="2"/>
  <c r="J41" i="2" s="1"/>
  <c r="J14" i="2"/>
  <c r="J39" i="2" s="1"/>
  <c r="L15" i="2"/>
  <c r="L14" i="2" s="1"/>
  <c r="L39" i="2" l="1"/>
  <c r="J64" i="2"/>
  <c r="N15" i="2"/>
  <c r="L42" i="2"/>
  <c r="L41" i="2" s="1"/>
  <c r="N42" i="2" l="1"/>
  <c r="N41" i="2" s="1"/>
  <c r="N14" i="2"/>
  <c r="J99" i="2"/>
  <c r="J100" i="2" s="1"/>
  <c r="L64" i="2"/>
  <c r="L99" i="2" s="1"/>
  <c r="L100" i="2" s="1"/>
  <c r="P42" i="2" l="1"/>
  <c r="R41" i="2" s="1"/>
  <c r="R15" i="2"/>
  <c r="T15" i="2" s="1"/>
  <c r="J102" i="2"/>
  <c r="L102" i="2"/>
  <c r="D37" i="6" s="1"/>
  <c r="N39" i="2"/>
  <c r="P64" i="2" l="1"/>
  <c r="P99" i="2" s="1"/>
  <c r="T41" i="2"/>
  <c r="C9" i="4"/>
  <c r="R42" i="2"/>
  <c r="T42" i="2" s="1"/>
  <c r="D27" i="6"/>
  <c r="R14" i="2"/>
  <c r="T14" i="2" s="1"/>
  <c r="N64" i="2"/>
  <c r="R39" i="2"/>
  <c r="E37" i="6"/>
  <c r="D42" i="6"/>
  <c r="P102" i="2" l="1"/>
  <c r="D57" i="6" s="1"/>
  <c r="E57" i="6" s="1"/>
  <c r="P100" i="2"/>
  <c r="E27" i="6"/>
  <c r="D32" i="6"/>
  <c r="I41" i="6"/>
  <c r="J41" i="6" s="1"/>
  <c r="I37" i="6"/>
  <c r="I40" i="6"/>
  <c r="J40" i="6" s="1"/>
  <c r="I39" i="6"/>
  <c r="J39" i="6" s="1"/>
  <c r="I38" i="6"/>
  <c r="J38" i="6" s="1"/>
  <c r="C8" i="4"/>
  <c r="C23" i="4" s="1"/>
  <c r="T39" i="2"/>
  <c r="N99" i="2"/>
  <c r="N100" i="2" s="1"/>
  <c r="R64" i="2"/>
  <c r="T64" i="2" s="1"/>
  <c r="R100" i="2" l="1"/>
  <c r="T100" i="2" s="1"/>
  <c r="D62" i="6"/>
  <c r="I42" i="6"/>
  <c r="L106" i="2" s="1"/>
  <c r="J37" i="6"/>
  <c r="J42" i="6" s="1"/>
  <c r="N102" i="2"/>
  <c r="R99" i="2"/>
  <c r="I57" i="6"/>
  <c r="I60" i="6"/>
  <c r="J60" i="6" s="1"/>
  <c r="I58" i="6"/>
  <c r="J58" i="6" s="1"/>
  <c r="I59" i="6"/>
  <c r="J59" i="6" s="1"/>
  <c r="I61" i="6"/>
  <c r="J61" i="6" s="1"/>
  <c r="I31" i="6"/>
  <c r="J31" i="6" s="1"/>
  <c r="I28" i="6"/>
  <c r="J28" i="6" s="1"/>
  <c r="I30" i="6"/>
  <c r="J30" i="6" s="1"/>
  <c r="I29" i="6"/>
  <c r="J29" i="6" s="1"/>
  <c r="I27" i="6"/>
  <c r="T99" i="2" l="1"/>
  <c r="D39" i="10"/>
  <c r="D41" i="10" s="1"/>
  <c r="M107" i="2"/>
  <c r="M105" i="2" s="1"/>
  <c r="M110" i="2" s="1"/>
  <c r="M113" i="2" s="1"/>
  <c r="L105" i="2"/>
  <c r="L110" i="2" s="1"/>
  <c r="L113" i="2" s="1"/>
  <c r="J57" i="6"/>
  <c r="J62" i="6" s="1"/>
  <c r="I62" i="6"/>
  <c r="P106" i="2" s="1"/>
  <c r="Q107" i="2" s="1"/>
  <c r="D47" i="6"/>
  <c r="R102" i="2"/>
  <c r="I32" i="6"/>
  <c r="J106" i="2" s="1"/>
  <c r="J27" i="6"/>
  <c r="J32" i="6" s="1"/>
  <c r="D43" i="10" l="1"/>
  <c r="T102" i="2"/>
  <c r="D40" i="10"/>
  <c r="D42" i="10" s="1"/>
  <c r="D45" i="10" s="1"/>
  <c r="D118" i="2" s="1"/>
  <c r="K107" i="2"/>
  <c r="K105" i="2" s="1"/>
  <c r="K110" i="2" s="1"/>
  <c r="K113" i="2" s="1"/>
  <c r="Q105" i="2"/>
  <c r="P105" i="2"/>
  <c r="P110" i="2" s="1"/>
  <c r="P113" i="2" s="1"/>
  <c r="E47" i="6"/>
  <c r="D52" i="6"/>
  <c r="D12" i="6" s="1"/>
  <c r="D46" i="10" l="1"/>
  <c r="E41" i="10" s="1"/>
  <c r="Q110" i="2"/>
  <c r="J105" i="2"/>
  <c r="I48" i="6"/>
  <c r="J48" i="6" s="1"/>
  <c r="I47" i="6"/>
  <c r="I49" i="6"/>
  <c r="J49" i="6" s="1"/>
  <c r="I50" i="6"/>
  <c r="J50" i="6" s="1"/>
  <c r="I51" i="6"/>
  <c r="J51" i="6" s="1"/>
  <c r="D48" i="10" l="1"/>
  <c r="D120" i="2" s="1"/>
  <c r="D117" i="2"/>
  <c r="Q113" i="2"/>
  <c r="I52" i="6"/>
  <c r="J47" i="6"/>
  <c r="J52" i="6" s="1"/>
  <c r="J110" i="2"/>
  <c r="J113" i="2" s="1"/>
  <c r="N106" i="2" l="1"/>
  <c r="O107" i="2" s="1"/>
  <c r="I12" i="6"/>
  <c r="R106" i="2" l="1"/>
  <c r="T106" i="2" s="1"/>
  <c r="N105" i="2"/>
  <c r="O105" i="2" l="1"/>
  <c r="S107" i="2"/>
  <c r="T107" i="2" s="1"/>
  <c r="C24" i="4"/>
  <c r="C25" i="4" s="1"/>
  <c r="N110" i="2"/>
  <c r="R105" i="2"/>
  <c r="O110" i="2" l="1"/>
  <c r="S105" i="2"/>
  <c r="T105" i="2" s="1"/>
  <c r="R110" i="2"/>
  <c r="N113" i="2"/>
  <c r="O113" i="2" l="1"/>
  <c r="S113" i="2" s="1"/>
  <c r="S110" i="2"/>
  <c r="T110" i="2" s="1"/>
  <c r="R113" i="2"/>
  <c r="T1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Jane Oftelie</author>
    <author>Rich, Andrea K [S P]</author>
  </authors>
  <commentList>
    <comment ref="H91" authorId="0" shapeId="0" xr:uid="{00000000-0006-0000-0000-00000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1" authorId="0" shapeId="0" xr:uid="{00000000-0006-0000-0000-000002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1" authorId="0" shapeId="0" xr:uid="{00000000-0006-0000-0000-00000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1" authorId="0" shapeId="0" xr:uid="{00000000-0006-0000-0000-00000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1" authorId="0" shapeId="0" xr:uid="{00000000-0006-0000-0000-000005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2" authorId="0" shapeId="0" xr:uid="{00000000-0006-0000-0000-000006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2" authorId="0" shapeId="0" xr:uid="{00000000-0006-0000-0000-000007000000}">
      <text>
        <r>
          <rPr>
            <b/>
            <sz val="9"/>
            <color indexed="81"/>
            <rFont val="Tahoma"/>
            <family val="2"/>
          </rPr>
          <t>Please DO NOT type in this space - it will autofill from the TUITION sheet after you make your selections.</t>
        </r>
      </text>
    </comment>
    <comment ref="L92" authorId="0" shapeId="0" xr:uid="{00000000-0006-0000-0000-000008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2" authorId="0" shapeId="0" xr:uid="{00000000-0006-0000-0000-000009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2" authorId="0" shapeId="0" xr:uid="{00000000-0006-0000-0000-00000A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3" authorId="0" shapeId="0" xr:uid="{00000000-0006-0000-0000-00000B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xr:uid="{00000000-0006-0000-0000-00000C000000}">
      <text>
        <r>
          <rPr>
            <b/>
            <sz val="9"/>
            <color indexed="81"/>
            <rFont val="Tahoma"/>
            <family val="2"/>
          </rPr>
          <t>Please DO NOT type in this space - it will autofill from the TUITION sheet after you make your selections.</t>
        </r>
      </text>
    </comment>
    <comment ref="L93" authorId="0" shapeId="0" xr:uid="{00000000-0006-0000-0000-00000D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xr:uid="{00000000-0006-0000-0000-00000E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xr:uid="{00000000-0006-0000-0000-00000F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1" shapeId="0" xr:uid="{00000000-0006-0000-0000-000010000000}">
      <text>
        <r>
          <rPr>
            <b/>
            <sz val="9"/>
            <color indexed="81"/>
            <rFont val="Tahoma"/>
            <family val="2"/>
          </rPr>
          <t>Please DO NOT type in this space - it will autofill from the TUITION sheet after you make your selections.</t>
        </r>
      </text>
    </comment>
    <comment ref="J94" authorId="1" shapeId="0" xr:uid="{00000000-0006-0000-0000-00001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4" authorId="1" shapeId="0" xr:uid="{00000000-0006-0000-0000-000012000000}">
      <text>
        <r>
          <rPr>
            <b/>
            <sz val="9"/>
            <color indexed="81"/>
            <rFont val="Tahoma"/>
            <family val="2"/>
          </rPr>
          <t xml:space="preserve">Please DO NOT type in this space - it will autofill from the TUITION sheet after you make your selections
</t>
        </r>
      </text>
    </comment>
    <comment ref="N94" authorId="1" shapeId="0" xr:uid="{00000000-0006-0000-0000-00001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1" shapeId="0" xr:uid="{00000000-0006-0000-0000-00001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<sst xmlns="http://schemas.openxmlformats.org/spreadsheetml/2006/main" count="1074" uniqueCount="325">
  <si>
    <t>Program Sponsor</t>
  </si>
  <si>
    <t>Title</t>
  </si>
  <si>
    <t>PI</t>
  </si>
  <si>
    <t>Period of Performance</t>
  </si>
  <si>
    <t>Deadline</t>
  </si>
  <si>
    <t>Year 1</t>
  </si>
  <si>
    <t>Salary</t>
  </si>
  <si>
    <t>Summer</t>
  </si>
  <si>
    <t>A</t>
  </si>
  <si>
    <t>Key Personnel</t>
  </si>
  <si>
    <t>Monthly</t>
  </si>
  <si>
    <t>Months</t>
  </si>
  <si>
    <t>Calendar</t>
  </si>
  <si>
    <t>Number of</t>
  </si>
  <si>
    <t>B</t>
  </si>
  <si>
    <t>Other Personnel</t>
  </si>
  <si>
    <t>Post Doc</t>
  </si>
  <si>
    <t>Research Asst-Halftime</t>
  </si>
  <si>
    <t>Hourly Undergraduate student</t>
  </si>
  <si>
    <t>Subtotal: Salaries and Wages</t>
  </si>
  <si>
    <t>C</t>
  </si>
  <si>
    <t>Fringe Benefits</t>
  </si>
  <si>
    <t>Rate</t>
  </si>
  <si>
    <t>Subtotal: Salaries, Wages, and Benefits</t>
  </si>
  <si>
    <t>D</t>
  </si>
  <si>
    <t>E</t>
  </si>
  <si>
    <t>Travel</t>
  </si>
  <si>
    <t>1. Domestic Travel</t>
  </si>
  <si>
    <t>2. Foreign Travel</t>
  </si>
  <si>
    <t>F</t>
  </si>
  <si>
    <t>Participant Support Cost</t>
  </si>
  <si>
    <t>1. Stipend</t>
  </si>
  <si>
    <t>2. Travel</t>
  </si>
  <si>
    <t>G</t>
  </si>
  <si>
    <t>Other Direct Costs</t>
  </si>
  <si>
    <t>Subtotal: Total Direct Costs (TDC)</t>
  </si>
  <si>
    <t>[ MTDC = TDC - Tuition - Equipment - Participant Support Cost ]</t>
  </si>
  <si>
    <t>H</t>
  </si>
  <si>
    <t>Indirect Costs</t>
  </si>
  <si>
    <t>I</t>
  </si>
  <si>
    <t>Spring</t>
  </si>
  <si>
    <t>Subtotal: Modified Total Direct Costs</t>
  </si>
  <si>
    <t>Year 2</t>
  </si>
  <si>
    <t>Materials and Supplies</t>
  </si>
  <si>
    <t>Publication cost</t>
  </si>
  <si>
    <t>Computing support</t>
  </si>
  <si>
    <t>Year 5</t>
  </si>
  <si>
    <t>Year 4</t>
  </si>
  <si>
    <t>Year 3</t>
  </si>
  <si>
    <t>select 1/4-time/1/2-time &gt; &gt;</t>
  </si>
  <si>
    <t>1/2-time</t>
  </si>
  <si>
    <t>Graduate Student Tuition</t>
  </si>
  <si>
    <t>Maximum</t>
  </si>
  <si>
    <t>Minimum</t>
  </si>
  <si>
    <t>Fall</t>
  </si>
  <si>
    <t>Funds Requested</t>
  </si>
  <si>
    <t>Masters - Min</t>
  </si>
  <si>
    <t>Masters-Max</t>
  </si>
  <si>
    <t>PhD - Min</t>
  </si>
  <si>
    <t>PhD - Max</t>
  </si>
  <si>
    <t>esc. Rate</t>
  </si>
  <si>
    <t>1/4-time</t>
  </si>
  <si>
    <t>3. Subsistence</t>
  </si>
  <si>
    <t>4. Other</t>
  </si>
  <si>
    <t>A&amp;B</t>
  </si>
  <si>
    <t>P</t>
  </si>
  <si>
    <t>XH (Student hourly)</t>
  </si>
  <si>
    <t>XH (Non-Student hourly)</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</si>
  <si>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</si>
  <si>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Other</t>
  </si>
  <si>
    <t>See notes below</t>
  </si>
  <si>
    <t>(Click on "Tuition" sheet)</t>
  </si>
  <si>
    <r>
      <rPr>
        <b/>
        <u/>
        <sz val="10"/>
        <color indexed="10"/>
        <rFont val="Arial"/>
        <family val="2"/>
      </rPr>
      <t>NOTES</t>
    </r>
    <r>
      <rPr>
        <b/>
        <sz val="10"/>
        <color indexed="10"/>
        <rFont val="Arial"/>
        <family val="2"/>
      </rPr>
      <t>:</t>
    </r>
  </si>
  <si>
    <r>
      <rPr>
        <b/>
        <u/>
        <sz val="10"/>
        <color indexed="10"/>
        <rFont val="Arial"/>
        <family val="2"/>
      </rPr>
      <t>Benefits</t>
    </r>
    <r>
      <rPr>
        <b/>
        <sz val="10"/>
        <color indexed="10"/>
        <rFont val="Arial"/>
        <family val="2"/>
      </rPr>
      <t>:</t>
    </r>
  </si>
  <si>
    <t xml:space="preserve">           Tuition Costs</t>
  </si>
  <si>
    <t>Project Budget Worksheet - Iowa State University of Science and Technology</t>
  </si>
  <si>
    <t>NOT subject to IDC (Amount over $25,000)</t>
  </si>
  <si>
    <t>Subcontractor2 - Subject to IDC (first $25,000)</t>
  </si>
  <si>
    <t>Subcontractor1 - Subject to IDC (first $25,000)</t>
  </si>
  <si>
    <t>Post Doc Salary Range:</t>
  </si>
  <si>
    <t>This budget is completely adjustable.  As such, you will need to double check your work and make adjustments in certain cells, such as:</t>
  </si>
  <si>
    <r>
      <rPr>
        <b/>
        <u/>
        <sz val="10"/>
        <color indexed="10"/>
        <rFont val="Arial"/>
        <family val="2"/>
      </rPr>
      <t>Subcontracts</t>
    </r>
    <r>
      <rPr>
        <b/>
        <sz val="10"/>
        <color indexed="10"/>
        <rFont val="Arial"/>
        <family val="2"/>
      </rPr>
      <t xml:space="preserve"> - Verify that only the first $25K of each subcontract is charged IDC.  You might need to adjust the MTDC for each year of each subcontract.</t>
    </r>
  </si>
  <si>
    <t>persons</t>
  </si>
  <si>
    <t>Secretarial/Clerical</t>
  </si>
  <si>
    <t>Non-Student Hourly</t>
  </si>
  <si>
    <t>P&amp;S</t>
  </si>
  <si>
    <t>Academic</t>
  </si>
  <si>
    <t>Cost-Shared  Matching Funds</t>
  </si>
  <si>
    <t>Total Cost-Shared Matching Funds</t>
  </si>
  <si>
    <t>Total Project Funds</t>
  </si>
  <si>
    <t>Total Direct + Indirect Costs</t>
  </si>
  <si>
    <t>Indirect Cost Categories:</t>
  </si>
  <si>
    <t>On-Campus Organized Research</t>
  </si>
  <si>
    <t>On Campus Instruction</t>
  </si>
  <si>
    <t>On-Campus Other Sponsored Activities</t>
  </si>
  <si>
    <t>Off-Campus All Programs</t>
  </si>
  <si>
    <t>Sponsor:</t>
  </si>
  <si>
    <t xml:space="preserve">Title: </t>
  </si>
  <si>
    <t xml:space="preserve">PI Name: </t>
  </si>
  <si>
    <t>Period of Performance:</t>
  </si>
  <si>
    <t>Account Number:</t>
  </si>
  <si>
    <t>Budget Categories</t>
  </si>
  <si>
    <t>Budget Code</t>
  </si>
  <si>
    <t>Amount</t>
  </si>
  <si>
    <t>Salary/Hourly</t>
  </si>
  <si>
    <t>0108</t>
  </si>
  <si>
    <t>Payroll Benefits</t>
  </si>
  <si>
    <t>0130</t>
  </si>
  <si>
    <t>Equipment</t>
  </si>
  <si>
    <t>0710</t>
  </si>
  <si>
    <t>Travel Domestic</t>
  </si>
  <si>
    <t>0215</t>
  </si>
  <si>
    <t>Travel Foreign</t>
  </si>
  <si>
    <t>0216</t>
  </si>
  <si>
    <t>Student Tuition</t>
  </si>
  <si>
    <t>0610</t>
  </si>
  <si>
    <t>Supplies</t>
  </si>
  <si>
    <t>0410</t>
  </si>
  <si>
    <t>Subcontracts</t>
  </si>
  <si>
    <t>Subject to IDC</t>
  </si>
  <si>
    <t>0396</t>
  </si>
  <si>
    <t>Not Subejct to IDC</t>
  </si>
  <si>
    <t>0376</t>
  </si>
  <si>
    <t>Computer Usage</t>
  </si>
  <si>
    <t>0353</t>
  </si>
  <si>
    <t>Printing/Copying</t>
  </si>
  <si>
    <t>0373</t>
  </si>
  <si>
    <t>Services/Honoraria</t>
  </si>
  <si>
    <t>0302</t>
  </si>
  <si>
    <t xml:space="preserve">Other  </t>
  </si>
  <si>
    <t>0630</t>
  </si>
  <si>
    <t>Total Direct Costs</t>
  </si>
  <si>
    <t>0642</t>
  </si>
  <si>
    <t>Total Costs</t>
  </si>
  <si>
    <t>Fall 2019</t>
  </si>
  <si>
    <t>Summer 2019</t>
  </si>
  <si>
    <t>Business and STB Students Only</t>
  </si>
  <si>
    <t>Fall 2020</t>
  </si>
  <si>
    <t>Fall 2021</t>
  </si>
  <si>
    <t>Spring 2020</t>
  </si>
  <si>
    <t>Spring 2021</t>
  </si>
  <si>
    <t>Summer 2020</t>
  </si>
  <si>
    <t>Summer 2021</t>
  </si>
  <si>
    <r>
      <t xml:space="preserve">Graduate Student Tuition </t>
    </r>
    <r>
      <rPr>
        <b/>
        <sz val="12"/>
        <rFont val="Arial"/>
        <family val="2"/>
      </rPr>
      <t>(Business &amp; STB)</t>
    </r>
  </si>
  <si>
    <t>Engineering &amp; Architecture Students Only</t>
  </si>
  <si>
    <r>
      <t xml:space="preserve">Graduate Student Tuition </t>
    </r>
    <r>
      <rPr>
        <b/>
        <sz val="12"/>
        <rFont val="Arial"/>
        <family val="2"/>
      </rPr>
      <t>(Engineering &amp; Architecture)</t>
    </r>
  </si>
  <si>
    <r>
      <t xml:space="preserve">Graduate Student Tuition </t>
    </r>
    <r>
      <rPr>
        <b/>
        <sz val="12"/>
        <rFont val="Arial"/>
        <family val="2"/>
      </rPr>
      <t>(most Majors)</t>
    </r>
  </si>
  <si>
    <t>Graduate Student Tuition (most majors)</t>
  </si>
  <si>
    <t xml:space="preserve">Tuition-Engineering &amp; Architecture </t>
  </si>
  <si>
    <t>Tuition-Business &amp; STB</t>
  </si>
  <si>
    <t>Tuition-(most majors)</t>
  </si>
  <si>
    <t>Spring 2022</t>
  </si>
  <si>
    <t>Consultant/Professional Services</t>
  </si>
  <si>
    <t>Equipment/Facility Rental or User Fee</t>
  </si>
  <si>
    <t>Fall 2022</t>
  </si>
  <si>
    <t>Summer 2022</t>
  </si>
  <si>
    <t>Spring 2023</t>
  </si>
  <si>
    <t>Alterations and Renovations (not included in MTDC)</t>
  </si>
  <si>
    <t>Fall 2023</t>
  </si>
  <si>
    <t>Spring 2024</t>
  </si>
  <si>
    <t>Summer 2023</t>
  </si>
  <si>
    <t xml:space="preserve"> </t>
  </si>
  <si>
    <t>http://www.grad-college.iastate.edu/post_doc/policies.php</t>
  </si>
  <si>
    <t>Use Rate</t>
  </si>
  <si>
    <t>Totals:</t>
  </si>
  <si>
    <t>Project End Date</t>
  </si>
  <si>
    <t>Project Start Date</t>
  </si>
  <si>
    <t>MTDC Amount</t>
  </si>
  <si>
    <t>F&amp;A Amount</t>
  </si>
  <si>
    <t>Months at Rate</t>
  </si>
  <si>
    <t>Days at Rate</t>
  </si>
  <si>
    <t>MTDC Daily Rate</t>
  </si>
  <si>
    <t>Total MTDC for the Period</t>
  </si>
  <si>
    <t>Total # Months</t>
  </si>
  <si>
    <t>Dates:</t>
  </si>
  <si>
    <t>Calculated</t>
  </si>
  <si>
    <t>Enter Amount:</t>
  </si>
  <si>
    <t>Enter</t>
  </si>
  <si>
    <t>7th Budget Period</t>
  </si>
  <si>
    <t>6th Budget Period</t>
  </si>
  <si>
    <t>5th Budget Period</t>
  </si>
  <si>
    <t>4th Budget Period</t>
  </si>
  <si>
    <t>3rd Budget Period</t>
  </si>
  <si>
    <t>2nd Budget Period</t>
  </si>
  <si>
    <t>F&amp;A Rate %</t>
  </si>
  <si>
    <t>F&amp;A Rate End</t>
  </si>
  <si>
    <t>Use F&amp;A Rate Effective Date</t>
  </si>
  <si>
    <t>Reference Only 
Rate Table:</t>
  </si>
  <si>
    <t>1st Budget Period</t>
  </si>
  <si>
    <t>PROJECT GRAND TOTALS:</t>
  </si>
  <si>
    <t>Total F&amp;A</t>
  </si>
  <si>
    <t>Total MTDC</t>
  </si>
  <si>
    <t>This tool is set up to accommodate up to 7 separate Project Budget periods and will provide a Grand Total of all budget periods.</t>
  </si>
  <si>
    <r>
      <t xml:space="preserve">See the job aid: </t>
    </r>
    <r>
      <rPr>
        <b/>
        <sz val="10"/>
        <rFont val="Arial"/>
        <family val="2"/>
      </rPr>
      <t>Setting up F&amp;A on a Project Using Split Rates</t>
    </r>
  </si>
  <si>
    <t>Please be aware that if your Project period Start and End dates span multiple F&amp;A effective dates, you will need to add the additional effective dates and rates to the Project Activity&gt;FA Rates tab in EFS.</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</si>
  <si>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</si>
  <si>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Use this tool to help you calculate split F&amp;A for budgeting purposes. By entering the Project Budget amount, and start and end dates, this tool will calculate the correct F&amp;A rate for the period.</t>
  </si>
  <si>
    <t>INSTRUCTIONS:</t>
  </si>
  <si>
    <t>Tool to Calculate Split F&amp;A Rates for a Project Period</t>
  </si>
  <si>
    <t>Start Date</t>
  </si>
  <si>
    <t>End Date</t>
  </si>
  <si>
    <t xml:space="preserve">Start Date </t>
  </si>
  <si>
    <t xml:space="preserve">Enter Start Date: </t>
  </si>
  <si>
    <t xml:space="preserve">Select calculation type: </t>
  </si>
  <si>
    <t>Negotiated Rate</t>
  </si>
  <si>
    <t>Other TDC</t>
  </si>
  <si>
    <t>Other MTDC</t>
  </si>
  <si>
    <t>Start Date must be entered for each budget</t>
  </si>
  <si>
    <t>This budget is completely adjustable.  You will need to double check your work and make adjustments in certain cells, such as:</t>
  </si>
  <si>
    <t>Subcontracts - Verify that only the first $25K of each subcontract is charged IDC.  You might need to adjust the MTDC for each year of each subcontract.</t>
  </si>
  <si>
    <r>
      <t>Masters Students</t>
    </r>
    <r>
      <rPr>
        <sz val="10"/>
        <rFont val="Arial"/>
        <family val="2"/>
      </rPr>
      <t xml:space="preserve"> (enter no. of students per term)</t>
    </r>
  </si>
  <si>
    <r>
      <t>PhD Students</t>
    </r>
    <r>
      <rPr>
        <sz val="10"/>
        <rFont val="Arial"/>
        <family val="2"/>
      </rPr>
      <t xml:space="preserve"> (enter no. of students per term)</t>
    </r>
  </si>
  <si>
    <r>
      <t xml:space="preserve">Graduate Student Tuition </t>
    </r>
    <r>
      <rPr>
        <b/>
        <sz val="12"/>
        <rFont val="Arial"/>
        <family val="2"/>
      </rPr>
      <t>(*Specific Graduate Departments)</t>
    </r>
  </si>
  <si>
    <t>*Specific Graduate Departments</t>
  </si>
  <si>
    <t>*Animal Sci, Comp Sci, GDCB, Microbiology, Plant Path, BBMB, EEOB, Industrial Design, NREM</t>
  </si>
  <si>
    <t>Fall 2024</t>
  </si>
  <si>
    <t>Summer 2024</t>
  </si>
  <si>
    <t>Specific Graduate Departments</t>
  </si>
  <si>
    <t>Tuition-Specific Grad Depts</t>
  </si>
  <si>
    <t xml:space="preserve">Most Majors </t>
  </si>
  <si>
    <t>Fall 2025</t>
  </si>
  <si>
    <t>Spring 2025</t>
  </si>
  <si>
    <t>Spring 2026</t>
  </si>
  <si>
    <t>Summer 2025</t>
  </si>
  <si>
    <t xml:space="preserve">Engineering </t>
  </si>
  <si>
    <t>Business &amp; Seed Technology</t>
  </si>
  <si>
    <t>Experiential Learning Based Majors</t>
  </si>
  <si>
    <t xml:space="preserve">Architecture </t>
  </si>
  <si>
    <r>
      <t xml:space="preserve">Graduate Student Tuition </t>
    </r>
    <r>
      <rPr>
        <b/>
        <sz val="12"/>
        <rFont val="Arial"/>
        <family val="2"/>
      </rPr>
      <t>(Experiential Learning Based Majors)</t>
    </r>
  </si>
  <si>
    <t>Tuition-Experiential Learning Majors</t>
  </si>
  <si>
    <t xml:space="preserve">Enter other rate as percentage (if needed): </t>
  </si>
  <si>
    <t>Fall 2026</t>
  </si>
  <si>
    <t>Spring 2027</t>
  </si>
  <si>
    <t>Summer 2026</t>
  </si>
  <si>
    <t>In Kind Cost Share</t>
  </si>
  <si>
    <t>Third Party In Kind Cost Share</t>
  </si>
  <si>
    <t>GoldSheet Total</t>
  </si>
  <si>
    <t>Total Project Costs IDC</t>
  </si>
  <si>
    <t>Negotiated (NICRA) IDC</t>
  </si>
  <si>
    <t>IDC Rate to Use:</t>
  </si>
  <si>
    <t>Sponsor Funds Requested</t>
  </si>
  <si>
    <t>Total Sponsor Funds</t>
  </si>
  <si>
    <t>Indirect costs- Budget defaults to caculate on 53% MTDC.  To use a rate other than organized research, please enter rate in 'Enter Other Rate' cell and  select the correct rate type the in dropdown.</t>
  </si>
  <si>
    <t>For Total Project Costs (also used as the USDA NIFA Total Federal Funds calculation), enter the Total Direct Cost conversion rate.</t>
  </si>
  <si>
    <t>Total Project Costs (USDA TFF)</t>
  </si>
  <si>
    <t>Total Project Cost F&amp;A Rate Calculation:</t>
  </si>
  <si>
    <t>F&amp;A Rate on Total Direct Cost*</t>
  </si>
  <si>
    <t>*F&amp;A Rate to enter in G4</t>
  </si>
  <si>
    <t>Total Project Cost F&amp;A Rate (USDA NIFA TFF Rate)</t>
  </si>
  <si>
    <t>J</t>
  </si>
  <si>
    <t>=</t>
  </si>
  <si>
    <t>Unrecovered IDC Allowed</t>
  </si>
  <si>
    <t>Yes</t>
  </si>
  <si>
    <t>No</t>
  </si>
  <si>
    <t>Domestic Travel</t>
  </si>
  <si>
    <t xml:space="preserve">Lodging  </t>
  </si>
  <si>
    <t>Meals</t>
  </si>
  <si>
    <t>Year</t>
  </si>
  <si>
    <t>Purpose &amp; Destination</t>
  </si>
  <si>
    <t># of People</t>
  </si>
  <si>
    <t>Airfare/ Person</t>
  </si>
  <si>
    <t># Nights</t>
  </si>
  <si>
    <t>Lodging Total</t>
  </si>
  <si>
    <t># Meal Days</t>
  </si>
  <si>
    <t>Meal Cost per Day</t>
  </si>
  <si>
    <t>Meal Total</t>
  </si>
  <si>
    <t>Registration Per Person</t>
  </si>
  <si>
    <t>TOTAL</t>
  </si>
  <si>
    <t>Year 1 Total</t>
  </si>
  <si>
    <t>Year 2 Total</t>
  </si>
  <si>
    <t>Year 3 Total</t>
  </si>
  <si>
    <t>Year 4 Total</t>
  </si>
  <si>
    <t>Year 5 Total</t>
  </si>
  <si>
    <t>Ground Transportation</t>
  </si>
  <si>
    <t>Rate per Night</t>
  </si>
  <si>
    <t>International Travel</t>
  </si>
  <si>
    <t>Dept of State Per Diem Rates: https://aoprals.state.gov/web920/per_diem.asp</t>
  </si>
  <si>
    <t>Iowa State Travel Policies: http://www.controller.iastate.edu/travelinformation/homepage.htm</t>
  </si>
  <si>
    <t>Iowa State Mileage Guide: http://www.controller.iastate.edu/travelinformation/mileageguideiowa.pdf</t>
  </si>
  <si>
    <t>http://www.controller.iastate.edu/spa/PSC.pdf</t>
  </si>
  <si>
    <t>https://www.grad-college.iastate.edu/handbook/chapter.php?id=3</t>
  </si>
  <si>
    <t>3.3.1 Graduate Assistantship</t>
  </si>
  <si>
    <t>Alternate Subtotal: Total Direct Costs Minus Subs</t>
  </si>
  <si>
    <t>Unrecovered Indirect Costs</t>
  </si>
  <si>
    <t>Subawards:</t>
  </si>
  <si>
    <t>Total Direct Costs (TDC)</t>
  </si>
  <si>
    <t>Total F&amp;A Costs (IDC)</t>
  </si>
  <si>
    <t xml:space="preserve">Subaward #1 </t>
  </si>
  <si>
    <t>Subaward #2</t>
  </si>
  <si>
    <t>Subaward #3</t>
  </si>
  <si>
    <t>Subaward #4</t>
  </si>
  <si>
    <t>Subaward #5</t>
  </si>
  <si>
    <t>Subaward #6</t>
  </si>
  <si>
    <t>Subaward #7</t>
  </si>
  <si>
    <t>Subaward #8</t>
  </si>
  <si>
    <t>Subaward #9</t>
  </si>
  <si>
    <t>Subaward #10</t>
  </si>
  <si>
    <t>All Additional Subawards Combined</t>
  </si>
  <si>
    <t>Total Subaward Amount</t>
  </si>
  <si>
    <t>ISU:</t>
  </si>
  <si>
    <t>Total Federal Funds Awarded (TFFA) Percentage Cap from Step One</t>
  </si>
  <si>
    <t>F&amp;A Rate on Total Direct Costs (TDC)</t>
  </si>
  <si>
    <t>ISU Total Direct Costs (TDC) Including Subawards</t>
  </si>
  <si>
    <t xml:space="preserve">ISU Modified Total Direct Costs (MTDC) </t>
  </si>
  <si>
    <t>ISU F&amp;A Costs Cap Amount</t>
  </si>
  <si>
    <t>ISU MTDC F&amp;A Costs</t>
  </si>
  <si>
    <t>ISU TFFA F&amp;A Costs</t>
  </si>
  <si>
    <t>Combined Total MTDC F&amp;A Costs Amount</t>
  </si>
  <si>
    <t>Combined Total TFFA F&amp;A Costs Amount</t>
  </si>
  <si>
    <t>ISU F&amp;A Rate to Use on Proposal:</t>
  </si>
  <si>
    <r>
      <rPr>
        <b/>
        <sz val="12"/>
        <color theme="1"/>
        <rFont val="Calibri"/>
        <family val="2"/>
        <scheme val="minor"/>
      </rPr>
      <t>Calculation of F&amp;A Rate for Total Funds Awarded Percentage Cap for F&amp;A Costs                                                                      May 2019</t>
    </r>
    <r>
      <rPr>
        <sz val="12"/>
        <color theme="1"/>
        <rFont val="Calibri"/>
        <family val="2"/>
        <scheme val="minor"/>
      </rPr>
      <t xml:space="preserve">
</t>
    </r>
    <r>
      <rPr>
        <b/>
        <u/>
        <sz val="12"/>
        <color theme="1"/>
        <rFont val="Calibri"/>
        <family val="2"/>
        <scheme val="minor"/>
      </rPr>
      <t>Instructions</t>
    </r>
    <r>
      <rPr>
        <sz val="12"/>
        <color theme="1"/>
        <rFont val="Calibri"/>
        <family val="2"/>
        <scheme val="minor"/>
      </rPr>
      <t>:
     1.  Enter the Total Funds Awarded percentage cap for F&amp;A costs in the blue box.  (</t>
    </r>
    <r>
      <rPr>
        <i/>
        <sz val="12"/>
        <color theme="1"/>
        <rFont val="Calibri"/>
        <family val="2"/>
        <scheme val="minor"/>
      </rPr>
      <t>only editable field in Step One</t>
    </r>
    <r>
      <rPr>
        <sz val="12"/>
        <color theme="1"/>
        <rFont val="Calibri"/>
        <family val="2"/>
        <scheme val="minor"/>
      </rPr>
      <t>)
     2.  The red box auto-calculates the F&amp;A rate to use on Total Direct Costs.</t>
    </r>
    <r>
      <rPr>
        <sz val="10"/>
        <rFont val="Arial"/>
        <family val="2"/>
      </rPr>
      <t xml:space="preserve">
</t>
    </r>
  </si>
  <si>
    <t>Total Funds Awarded Percentage Cap for F&amp;A Costs</t>
  </si>
  <si>
    <t>F&amp;A Rate on Total Direct Costs</t>
  </si>
  <si>
    <t xml:space="preserve">Calculation  </t>
  </si>
  <si>
    <t>minus</t>
  </si>
  <si>
    <t>Total Funds Awarded Percentage Cap for F&amp;A Costs per Sponsor</t>
  </si>
  <si>
    <t>equals</t>
  </si>
  <si>
    <t>Direct Cost %</t>
  </si>
  <si>
    <t>divided by</t>
  </si>
  <si>
    <t>-</t>
  </si>
  <si>
    <t>/</t>
  </si>
  <si>
    <r>
      <t xml:space="preserve">* Note: F&amp;A Rates on Total Direct Costs must be rounded </t>
    </r>
    <r>
      <rPr>
        <i/>
        <u/>
        <sz val="10"/>
        <color theme="1"/>
        <rFont val="Calibri"/>
        <family val="2"/>
        <scheme val="minor"/>
      </rPr>
      <t>down</t>
    </r>
    <r>
      <rPr>
        <i/>
        <sz val="10"/>
        <color theme="1"/>
        <rFont val="Calibri"/>
        <family val="2"/>
        <scheme val="minor"/>
      </rPr>
      <t xml:space="preserve"> to 2 decimals per ISU guidelines.</t>
    </r>
  </si>
  <si>
    <t>Eff. 8/1/2020</t>
  </si>
  <si>
    <t>Updated 8/04/20</t>
  </si>
  <si>
    <t>James Lathrop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</si>
</sst>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b/>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sz val="12"/>
      <color indexed="1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sz val="8"/>
      <color rgb="FFFF0000"/>
      <name val="Arial"/>
      <family val="2"/>
    </font>
    <font>
      <b/>
      <sz val="12"/>
      <color theme="4" tint="0.39997558519241921"/>
      <name val="Arial"/>
      <family val="2"/>
    </font>
    <font>
      <sz val="10"/>
      <name val="Arial"/>
      <family val="2"/>
    </font>
    <font>
      <sz val="10"/>
      <color theme="0"/>
      <name val="Arial"/>
      <family val="2"/>
    </font>
    <font>
      <b/>
      <sz val="11"/>
      <color theme="0"/>
      <name val="Times New Roman"/>
      <family val="1"/>
    </font>
    <font>
      <b/>
      <i/>
      <sz val="11"/>
      <color theme="0"/>
      <name val="Times New Roman"/>
      <family val="1"/>
    </font>
    <font>
      <sz val="11"/>
      <name val="Times New Roman"/>
      <family val="1"/>
    </font>
    <font>
      <i/>
      <sz val="11"/>
      <name val="Times New Roman"/>
      <family val="1"/>
    </font>
    <font>
      <b/>
      <sz val="11"/>
      <color theme="1"/>
      <name val="Times New Roman"/>
      <family val="1"/>
    </font>
    <font>
      <b/>
      <i/>
      <sz val="11"/>
      <color theme="1"/>
      <name val="Times New Roman"/>
      <family val="1"/>
    </font>
    <font>
      <u/>
      <sz val="12"/>
      <color indexed="12"/>
      <name val="Arial"/>
      <family val="2"/>
    </font>
    <font>
      <u/>
      <sz val="11"/>
      <color indexed="12"/>
      <name val="Arial"/>
      <family val="2"/>
    </font>
    <font>
      <b/>
      <sz val="14"/>
      <color theme="1"/>
      <name val="Calibri"/>
      <family val="2"/>
      <scheme val="minor"/>
    </font>
    <font>
      <b/>
      <sz val="13"/>
      <color theme="1"/>
      <name val="Calibri"/>
      <family val="2"/>
      <scheme val="minor"/>
    </font>
    <font>
      <sz val="18"/>
      <color theme="1"/>
      <name val="Calibri"/>
      <family val="2"/>
      <scheme val="minor"/>
    </font>
    <font>
      <b/>
      <sz val="20"/>
      <color theme="1"/>
      <name val="Calibri"/>
      <family val="2"/>
      <scheme val="minor"/>
    </font>
    <font>
      <b/>
      <sz val="12"/>
      <color theme="1"/>
      <name val="Calibri"/>
      <family val="2"/>
      <scheme val="minor"/>
    </font>
    <font>
      <sz val="12"/>
      <color theme="1"/>
      <name val="Calibri"/>
      <family val="2"/>
      <scheme val="minor"/>
    </font>
    <font>
      <b/>
      <u/>
      <sz val="12"/>
      <color theme="1"/>
      <name val="Calibri"/>
      <family val="2"/>
      <scheme val="minor"/>
    </font>
    <font>
      <i/>
      <sz val="12"/>
      <color theme="1"/>
      <name val="Calibri"/>
      <family val="2"/>
      <scheme val="minor"/>
    </font>
    <font>
      <sz val="14"/>
      <color theme="1"/>
      <name val="Calibri"/>
      <family val="2"/>
      <scheme val="minor"/>
    </font>
    <font>
      <sz val="18"/>
      <color theme="4" tint="-0.249977111117893"/>
      <name val="Arial Black"/>
      <family val="2"/>
    </font>
    <font>
      <sz val="18"/>
      <color theme="1"/>
      <name val="Arial Black"/>
      <family val="2"/>
    </font>
    <font>
      <sz val="11"/>
      <color theme="1"/>
      <name val="Cambria"/>
      <family val="2"/>
      <scheme val="major"/>
    </font>
    <font>
      <sz val="18"/>
      <color rgb="FFC00000"/>
      <name val="Arial Black"/>
      <family val="2"/>
    </font>
    <font>
      <i/>
      <sz val="10"/>
      <color theme="1"/>
      <name val="Cambria"/>
      <family val="2"/>
      <scheme val="major"/>
    </font>
    <font>
      <sz val="10"/>
      <color theme="1"/>
      <name val="Cambria"/>
      <family val="2"/>
      <scheme val="major"/>
    </font>
    <font>
      <sz val="10"/>
      <color rgb="FF0070C0"/>
      <name val="Cambria"/>
      <family val="2"/>
      <scheme val="major"/>
    </font>
    <font>
      <sz val="10"/>
      <color theme="9" tint="-0.249977111117893"/>
      <name val="Cambria"/>
      <family val="2"/>
      <scheme val="major"/>
    </font>
    <font>
      <sz val="11"/>
      <color theme="9" tint="-0.249977111117893"/>
      <name val="Cambria"/>
      <family val="2"/>
      <scheme val="major"/>
    </font>
    <font>
      <sz val="10"/>
      <color rgb="FFC00000"/>
      <name val="Cambria"/>
      <family val="2"/>
      <scheme val="major"/>
    </font>
    <font>
      <sz val="11"/>
      <color rgb="FFC00000"/>
      <name val="Cambria"/>
      <family val="2"/>
      <scheme val="major"/>
    </font>
    <font>
      <sz val="10"/>
      <color theme="1"/>
      <name val="Calibri"/>
      <family val="2"/>
      <scheme val="minor"/>
    </font>
    <font>
      <sz val="10"/>
      <name val="Cambria"/>
      <family val="2"/>
      <scheme val="major"/>
    </font>
    <font>
      <i/>
      <sz val="10"/>
      <color theme="1"/>
      <name val="Calibri"/>
      <family val="2"/>
      <scheme val="minor"/>
    </font>
    <font>
      <i/>
      <u/>
      <sz val="10"/>
      <color theme="1"/>
      <name val="Calibri"/>
      <family val="2"/>
      <scheme val="minor"/>
    </font>
    <font>
      <sz val="11"/>
      <color theme="0" tint="-0.14999847407452621"/>
      <name val="Calibri"/>
      <family val="2"/>
      <scheme val="minor"/>
    </font>
    <font>
      <sz val="10"/>
      <color theme="2"/>
      <name val="Arial"/>
      <family val="2"/>
    </font>
  </fonts>
  <fills count="63">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FFCCCC"/>
        <bgColor indexed="64"/>
      </patternFill>
    </fill>
  </fills>
  <borders count="91">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right/>
      <top style="thin">
        <color auto="1"/>
      </top>
      <bottom style="double">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style="thin">
        <color theme="2" tint="-0.24994659260841701"/>
      </bottom>
      <diagonal/>
    </border>
    <border>
      <left/>
      <right/>
      <top/>
      <bottom style="thin">
        <color theme="2" tint="-0.24994659260841701"/>
      </bottom>
      <diagonal/>
    </border>
    <border>
      <left/>
      <right style="thin">
        <color indexed="64"/>
      </right>
      <top/>
      <bottom style="thin">
        <color theme="2" tint="-0.24994659260841701"/>
      </bottom>
      <diagonal/>
    </border>
    <border>
      <left style="thin">
        <color indexed="64"/>
      </left>
      <right/>
      <top style="thin">
        <color theme="2" tint="-0.24994659260841701"/>
      </top>
      <bottom style="thin">
        <color theme="2" tint="-0.24994659260841701"/>
      </bottom>
      <diagonal/>
    </border>
    <border>
      <left/>
      <right/>
      <top style="thin">
        <color theme="2" tint="-0.24994659260841701"/>
      </top>
      <bottom style="thin">
        <color theme="2" tint="-0.24994659260841701"/>
      </bottom>
      <diagonal/>
    </border>
    <border>
      <left/>
      <right style="thin">
        <color indexed="64"/>
      </right>
      <top style="thin">
        <color theme="2" tint="-0.24994659260841701"/>
      </top>
      <bottom style="thin">
        <color theme="2" tint="-0.24994659260841701"/>
      </bottom>
      <diagonal/>
    </border>
    <border>
      <left/>
      <right/>
      <top style="thin">
        <color theme="2" tint="-0.24994659260841701"/>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ck">
        <color indexed="64"/>
      </left>
      <right style="thin">
        <color indexed="64"/>
      </right>
      <top style="thick">
        <color indexed="64"/>
      </top>
      <bottom style="thick">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89">
    <xf numFmtId="0" fontId="0" fillId="0" borderId="0"/>
    <xf numFmtId="43" fontId="17" fillId="0" borderId="0" applyFont="0" applyFill="0" applyBorder="0" applyAlignment="0" applyProtection="0"/>
    <xf numFmtId="43" fontId="14" fillId="0" borderId="0" applyFont="0" applyFill="0" applyBorder="0" applyAlignment="0" applyProtection="0"/>
    <xf numFmtId="3" fontId="19" fillId="0" borderId="0" applyFont="0" applyFill="0" applyBorder="0" applyAlignment="0" applyProtection="0"/>
    <xf numFmtId="44" fontId="17" fillId="0" borderId="0" applyFont="0" applyFill="0" applyBorder="0" applyAlignment="0" applyProtection="0"/>
    <xf numFmtId="44" fontId="14"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2" fontId="19"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4" fillId="0" borderId="0"/>
    <xf numFmtId="9" fontId="4" fillId="0" borderId="0" applyFont="0" applyFill="0" applyBorder="0" applyAlignment="0" applyProtection="0"/>
    <xf numFmtId="9" fontId="17"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19" fillId="0" borderId="1" applyNumberFormat="0" applyFont="0" applyFill="0" applyAlignment="0" applyProtection="0"/>
    <xf numFmtId="0" fontId="32" fillId="0" borderId="0" applyNumberFormat="0" applyFill="0" applyBorder="0" applyAlignment="0" applyProtection="0"/>
    <xf numFmtId="0" fontId="35" fillId="0" borderId="17" applyNumberFormat="0" applyFill="0" applyAlignment="0" applyProtection="0"/>
    <xf numFmtId="0" fontId="35" fillId="0" borderId="0" applyNumberFormat="0" applyFill="0" applyBorder="0" applyAlignment="0" applyProtection="0"/>
    <xf numFmtId="0" fontId="36" fillId="9" borderId="0" applyNumberFormat="0" applyBorder="0" applyAlignment="0" applyProtection="0"/>
    <xf numFmtId="0" fontId="37" fillId="10" borderId="0" applyNumberFormat="0" applyBorder="0" applyAlignment="0" applyProtection="0"/>
    <xf numFmtId="0" fontId="38" fillId="11" borderId="0" applyNumberFormat="0" applyBorder="0" applyAlignment="0" applyProtection="0"/>
    <xf numFmtId="0" fontId="39" fillId="12" borderId="18" applyNumberFormat="0" applyAlignment="0" applyProtection="0"/>
    <xf numFmtId="0" fontId="40" fillId="13" borderId="19" applyNumberFormat="0" applyAlignment="0" applyProtection="0"/>
    <xf numFmtId="0" fontId="41" fillId="13" borderId="18" applyNumberFormat="0" applyAlignment="0" applyProtection="0"/>
    <xf numFmtId="0" fontId="42" fillId="0" borderId="20" applyNumberFormat="0" applyFill="0" applyAlignment="0" applyProtection="0"/>
    <xf numFmtId="0" fontId="43" fillId="14" borderId="21"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47" fillId="19" borderId="0" applyNumberFormat="0" applyBorder="0" applyAlignment="0" applyProtection="0"/>
    <xf numFmtId="0" fontId="47"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47" fillId="23" borderId="0" applyNumberFormat="0" applyBorder="0" applyAlignment="0" applyProtection="0"/>
    <xf numFmtId="0" fontId="47"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47" fillId="27" borderId="0" applyNumberFormat="0" applyBorder="0" applyAlignment="0" applyProtection="0"/>
    <xf numFmtId="0" fontId="47"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47" fillId="31" borderId="0" applyNumberFormat="0" applyBorder="0" applyAlignment="0" applyProtection="0"/>
    <xf numFmtId="0" fontId="47"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47" fillId="35" borderId="0" applyNumberFormat="0" applyBorder="0" applyAlignment="0" applyProtection="0"/>
    <xf numFmtId="0" fontId="47"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47" fillId="39" borderId="0" applyNumberFormat="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 fillId="0" borderId="0"/>
    <xf numFmtId="0" fontId="33" fillId="0" borderId="15" applyNumberFormat="0" applyFill="0" applyAlignment="0" applyProtection="0"/>
    <xf numFmtId="0" fontId="34" fillId="0" borderId="16" applyNumberFormat="0" applyFill="0" applyAlignment="0" applyProtection="0"/>
    <xf numFmtId="0" fontId="3" fillId="15" borderId="22" applyNumberFormat="0" applyFont="0" applyAlignment="0" applyProtection="0"/>
    <xf numFmtId="9" fontId="3" fillId="0" borderId="0" applyFont="0" applyFill="0" applyBorder="0" applyAlignment="0" applyProtection="0"/>
    <xf numFmtId="0" fontId="46" fillId="0" borderId="23" applyNumberFormat="0" applyFill="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0" borderId="0"/>
    <xf numFmtId="0" fontId="1" fillId="15" borderId="22" applyNumberFormat="0" applyFont="0" applyAlignment="0" applyProtection="0"/>
    <xf numFmtId="9" fontId="1" fillId="0" borderId="0" applyFont="0" applyFill="0" applyBorder="0" applyAlignment="0" applyProtection="0"/>
    <xf numFmtId="9" fontId="50" fillId="0" borderId="0" applyFont="0" applyFill="0" applyBorder="0" applyAlignment="0" applyProtection="0"/>
    <xf numFmtId="44" fontId="59" fillId="0" borderId="0" applyFont="0" applyFill="0" applyBorder="0" applyAlignment="0" applyProtection="0"/>
    <xf numFmtId="0" fontId="34" fillId="0" borderId="16" applyNumberFormat="0" applyFill="0" applyAlignment="0" applyProtection="0"/>
    <xf numFmtId="0" fontId="46" fillId="0" borderId="23" applyNumberFormat="0" applyFill="0" applyAlignment="0" applyProtection="0"/>
  </cellStyleXfs>
  <cellXfs count="616">
    <xf numFmtId="0" fontId="0" fillId="0" borderId="0" xfId="0"/>
    <xf numFmtId="0" fontId="8" fillId="0" borderId="0" xfId="0" applyFont="1"/>
    <xf numFmtId="165" fontId="8" fillId="0" borderId="0" xfId="0" applyNumberFormat="1" applyFont="1"/>
    <xf numFmtId="0" fontId="15" fillId="2" borderId="0" xfId="0" applyFont="1" applyFill="1" applyAlignment="1">
      <alignment horizontal="right"/>
    </xf>
    <xf numFmtId="0" fontId="11" fillId="2" borderId="0" xfId="0" applyFont="1" applyFill="1" applyAlignment="1">
      <alignment horizontal="right"/>
    </xf>
    <xf numFmtId="0" fontId="8" fillId="0" borderId="0" xfId="0" applyFont="1" applyFill="1"/>
    <xf numFmtId="0" fontId="0" fillId="0" borderId="0" xfId="0" applyFill="1"/>
    <xf numFmtId="0" fontId="11" fillId="2" borderId="0" xfId="0" applyFont="1" applyFill="1"/>
    <xf numFmtId="0" fontId="15" fillId="2" borderId="0" xfId="0" applyFont="1" applyFill="1"/>
    <xf numFmtId="0" fontId="0" fillId="2" borderId="0" xfId="0" applyFill="1" applyAlignment="1"/>
    <xf numFmtId="0" fontId="12" fillId="0" borderId="0" xfId="0" applyFont="1"/>
    <xf numFmtId="0" fontId="25" fillId="0" borderId="0" xfId="0" applyFont="1"/>
    <xf numFmtId="0" fontId="8" fillId="0" borderId="0" xfId="0" applyFont="1" applyAlignment="1">
      <alignment horizontal="right"/>
    </xf>
    <xf numFmtId="0" fontId="12" fillId="2" borderId="0" xfId="0" applyFont="1" applyFill="1" applyAlignment="1" applyProtection="1">
      <alignment horizontal="center"/>
    </xf>
    <xf numFmtId="164" fontId="11" fillId="2" borderId="2" xfId="0" applyNumberFormat="1" applyFont="1" applyFill="1" applyBorder="1" applyAlignment="1" applyProtection="1">
      <alignment horizontal="right"/>
    </xf>
    <xf numFmtId="164" fontId="11" fillId="7" borderId="2" xfId="0" applyNumberFormat="1" applyFont="1" applyFill="1" applyBorder="1" applyAlignment="1" applyProtection="1">
      <alignment horizontal="right"/>
    </xf>
    <xf numFmtId="164" fontId="4" fillId="7" borderId="2" xfId="0" applyNumberFormat="1" applyFont="1" applyFill="1" applyBorder="1" applyAlignment="1" applyProtection="1">
      <alignment horizontal="right"/>
    </xf>
    <xf numFmtId="164" fontId="12" fillId="2" borderId="0" xfId="0" applyNumberFormat="1" applyFont="1" applyFill="1" applyAlignment="1" applyProtection="1">
      <alignment horizontal="center"/>
    </xf>
    <xf numFmtId="164" fontId="4" fillId="6" borderId="0" xfId="0" applyNumberFormat="1" applyFont="1" applyFill="1" applyAlignment="1" applyProtection="1">
      <alignment horizontal="center"/>
    </xf>
    <xf numFmtId="164" fontId="4" fillId="2" borderId="0" xfId="0" applyNumberFormat="1" applyFont="1" applyFill="1" applyAlignment="1" applyProtection="1">
      <alignment horizontal="center"/>
    </xf>
    <xf numFmtId="164" fontId="12" fillId="6" borderId="0" xfId="0" applyNumberFormat="1" applyFont="1" applyFill="1" applyAlignment="1" applyProtection="1">
      <alignment horizontal="center"/>
    </xf>
    <xf numFmtId="164" fontId="4" fillId="2" borderId="0" xfId="0" applyNumberFormat="1" applyFont="1" applyFill="1" applyAlignment="1" applyProtection="1">
      <alignment horizontal="right"/>
    </xf>
    <xf numFmtId="164" fontId="4" fillId="6" borderId="0" xfId="0" applyNumberFormat="1" applyFont="1" applyFill="1" applyAlignment="1" applyProtection="1">
      <alignment horizontal="right"/>
    </xf>
    <xf numFmtId="165" fontId="8" fillId="0" borderId="0" xfId="0" applyNumberFormat="1" applyFont="1" applyFill="1"/>
    <xf numFmtId="164" fontId="4" fillId="7" borderId="2" xfId="0" applyNumberFormat="1" applyFont="1" applyFill="1" applyBorder="1" applyAlignment="1" applyProtection="1">
      <alignment horizontal="right"/>
      <protection locked="0"/>
    </xf>
    <xf numFmtId="164" fontId="4" fillId="7" borderId="5" xfId="0" applyNumberFormat="1" applyFont="1" applyFill="1" applyBorder="1" applyAlignment="1" applyProtection="1">
      <alignment horizontal="right"/>
      <protection locked="0"/>
    </xf>
    <xf numFmtId="0" fontId="4" fillId="2" borderId="0" xfId="0" applyFont="1" applyFill="1" applyProtection="1">
      <protection locked="0"/>
    </xf>
    <xf numFmtId="0" fontId="11" fillId="6" borderId="0" xfId="0" applyFont="1" applyFill="1" applyAlignment="1" applyProtection="1">
      <protection locked="0"/>
    </xf>
    <xf numFmtId="0" fontId="11" fillId="2" borderId="0" xfId="0" applyFont="1" applyFill="1" applyAlignment="1" applyProtection="1">
      <protection locked="0"/>
    </xf>
    <xf numFmtId="0" fontId="12" fillId="2" borderId="0" xfId="0" applyFont="1" applyFill="1" applyAlignment="1" applyProtection="1">
      <protection locked="0"/>
    </xf>
    <xf numFmtId="0" fontId="27" fillId="7" borderId="2" xfId="0" applyFont="1" applyFill="1" applyBorder="1" applyAlignment="1" applyProtection="1">
      <alignment horizontal="center" wrapText="1"/>
      <protection locked="0"/>
    </xf>
    <xf numFmtId="0" fontId="4" fillId="2" borderId="0" xfId="0" applyFont="1" applyFill="1" applyAlignment="1" applyProtection="1">
      <alignment horizontal="right"/>
      <protection locked="0"/>
    </xf>
    <xf numFmtId="0" fontId="0" fillId="2" borderId="0" xfId="0" applyFill="1" applyAlignment="1" applyProtection="1">
      <alignment horizontal="right"/>
      <protection locked="0"/>
    </xf>
    <xf numFmtId="0" fontId="13" fillId="2" borderId="0" xfId="0" applyFont="1" applyFill="1" applyAlignment="1" applyProtection="1">
      <alignment horizontal="right"/>
      <protection locked="0"/>
    </xf>
    <xf numFmtId="0" fontId="13" fillId="2" borderId="0" xfId="0" applyFont="1" applyFill="1" applyProtection="1">
      <protection locked="0"/>
    </xf>
    <xf numFmtId="0" fontId="13" fillId="2" borderId="0" xfId="0" applyFont="1" applyFill="1" applyAlignment="1" applyProtection="1">
      <alignment horizontal="left"/>
      <protection locked="0"/>
    </xf>
    <xf numFmtId="164" fontId="11" fillId="6" borderId="2" xfId="0" applyNumberFormat="1" applyFont="1" applyFill="1" applyBorder="1" applyAlignment="1" applyProtection="1">
      <alignment horizontal="right"/>
      <protection locked="0"/>
    </xf>
    <xf numFmtId="164" fontId="11" fillId="7" borderId="2" xfId="0" applyNumberFormat="1" applyFont="1" applyFill="1" applyBorder="1" applyAlignment="1" applyProtection="1">
      <alignment horizontal="right"/>
      <protection locked="0"/>
    </xf>
    <xf numFmtId="164" fontId="11" fillId="7" borderId="5" xfId="0" applyNumberFormat="1" applyFont="1" applyFill="1" applyBorder="1" applyAlignment="1" applyProtection="1">
      <alignment horizontal="right"/>
      <protection locked="0"/>
    </xf>
    <xf numFmtId="164" fontId="11" fillId="6" borderId="5" xfId="0" applyNumberFormat="1" applyFont="1" applyFill="1" applyBorder="1" applyAlignment="1" applyProtection="1">
      <alignment horizontal="right"/>
      <protection locked="0"/>
    </xf>
    <xf numFmtId="0" fontId="14" fillId="2" borderId="0" xfId="0" applyFont="1" applyFill="1" applyAlignment="1" applyProtection="1">
      <alignment horizontal="left"/>
      <protection locked="0"/>
    </xf>
    <xf numFmtId="2" fontId="4" fillId="2" borderId="0" xfId="0" applyNumberFormat="1" applyFont="1" applyFill="1" applyAlignment="1" applyProtection="1">
      <alignment horizontal="right"/>
      <protection locked="0"/>
    </xf>
    <xf numFmtId="0" fontId="4" fillId="2" borderId="0" xfId="0" applyFont="1" applyFill="1" applyAlignment="1" applyProtection="1">
      <alignment horizontal="left"/>
      <protection locked="0"/>
    </xf>
    <xf numFmtId="0" fontId="4" fillId="6" borderId="0" xfId="0" applyFont="1" applyFill="1" applyProtection="1">
      <protection locked="0"/>
    </xf>
    <xf numFmtId="0" fontId="4" fillId="6" borderId="0" xfId="0" applyFont="1" applyFill="1" applyAlignment="1" applyProtection="1">
      <alignment horizontal="right"/>
      <protection locked="0"/>
    </xf>
    <xf numFmtId="0" fontId="14" fillId="6" borderId="0" xfId="0" applyFont="1" applyFill="1" applyAlignment="1" applyProtection="1">
      <alignment horizontal="left"/>
      <protection locked="0"/>
    </xf>
    <xf numFmtId="164" fontId="12" fillId="6" borderId="0" xfId="0" applyNumberFormat="1" applyFont="1" applyFill="1" applyAlignment="1" applyProtection="1">
      <alignment horizontal="center"/>
      <protection locked="0"/>
    </xf>
    <xf numFmtId="0" fontId="14" fillId="2" borderId="0" xfId="0" applyFont="1" applyFill="1" applyAlignment="1" applyProtection="1">
      <alignment horizontal="right"/>
      <protection locked="0"/>
    </xf>
    <xf numFmtId="164" fontId="4" fillId="6" borderId="0" xfId="0" applyNumberFormat="1" applyFont="1" applyFill="1" applyAlignment="1" applyProtection="1">
      <alignment horizontal="center"/>
      <protection locked="0"/>
    </xf>
    <xf numFmtId="0" fontId="12" fillId="2" borderId="0" xfId="0" applyFont="1" applyFill="1" applyProtection="1">
      <protection locked="0"/>
    </xf>
    <xf numFmtId="0" fontId="12" fillId="2" borderId="0" xfId="0" applyFont="1" applyFill="1" applyAlignment="1" applyProtection="1">
      <alignment horizontal="right"/>
      <protection locked="0"/>
    </xf>
    <xf numFmtId="166" fontId="4" fillId="2" borderId="0" xfId="0" applyNumberFormat="1" applyFont="1" applyFill="1" applyAlignment="1" applyProtection="1">
      <alignment horizontal="right"/>
      <protection locked="0"/>
    </xf>
    <xf numFmtId="166" fontId="4" fillId="2" borderId="0" xfId="14" applyNumberFormat="1" applyFont="1" applyFill="1" applyProtection="1">
      <protection locked="0"/>
    </xf>
    <xf numFmtId="0" fontId="11" fillId="2" borderId="0" xfId="0" applyFont="1" applyFill="1" applyAlignment="1" applyProtection="1">
      <alignment horizontal="left"/>
      <protection locked="0"/>
    </xf>
    <xf numFmtId="0" fontId="11" fillId="2" borderId="0" xfId="0" applyFont="1" applyFill="1" applyAlignment="1" applyProtection="1">
      <alignment horizontal="right"/>
      <protection locked="0"/>
    </xf>
    <xf numFmtId="2" fontId="12" fillId="2" borderId="0" xfId="0" applyNumberFormat="1" applyFont="1" applyFill="1" applyAlignment="1" applyProtection="1">
      <alignment horizontal="right"/>
      <protection locked="0"/>
    </xf>
    <xf numFmtId="0" fontId="15" fillId="6" borderId="0" xfId="0" applyFont="1" applyFill="1" applyAlignment="1" applyProtection="1">
      <alignment horizontal="left"/>
      <protection locked="0"/>
    </xf>
    <xf numFmtId="0" fontId="15" fillId="6" borderId="0" xfId="0" applyFont="1" applyFill="1" applyAlignment="1" applyProtection="1">
      <alignment horizontal="right"/>
      <protection locked="0"/>
    </xf>
    <xf numFmtId="2" fontId="4" fillId="6" borderId="0" xfId="0" applyNumberFormat="1" applyFont="1" applyFill="1" applyAlignment="1" applyProtection="1">
      <alignment horizontal="right"/>
      <protection locked="0"/>
    </xf>
    <xf numFmtId="164" fontId="15" fillId="6" borderId="0" xfId="0" applyNumberFormat="1" applyFont="1" applyFill="1" applyAlignment="1" applyProtection="1">
      <alignment horizontal="right"/>
      <protection locked="0"/>
    </xf>
    <xf numFmtId="164" fontId="4" fillId="6" borderId="0" xfId="0" applyNumberFormat="1" applyFont="1" applyFill="1" applyAlignment="1" applyProtection="1">
      <alignment horizontal="right"/>
      <protection locked="0"/>
    </xf>
    <xf numFmtId="0" fontId="15" fillId="2" borderId="0" xfId="0" applyFont="1" applyFill="1" applyAlignment="1" applyProtection="1">
      <alignment horizontal="left"/>
      <protection locked="0"/>
    </xf>
    <xf numFmtId="0" fontId="11" fillId="6" borderId="0" xfId="0" applyFont="1" applyFill="1" applyAlignment="1" applyProtection="1">
      <alignment horizontal="right"/>
      <protection locked="0"/>
    </xf>
    <xf numFmtId="164" fontId="15" fillId="7" borderId="2" xfId="0" applyNumberFormat="1" applyFont="1" applyFill="1" applyBorder="1" applyAlignment="1" applyProtection="1">
      <alignment horizontal="right"/>
      <protection locked="0"/>
    </xf>
    <xf numFmtId="0" fontId="4" fillId="6" borderId="0" xfId="0" applyFont="1" applyFill="1" applyAlignment="1" applyProtection="1">
      <alignment horizontal="left"/>
      <protection locked="0"/>
    </xf>
    <xf numFmtId="165" fontId="4" fillId="6" borderId="0" xfId="0" applyNumberFormat="1" applyFont="1" applyFill="1" applyProtection="1">
      <protection locked="0"/>
    </xf>
    <xf numFmtId="2" fontId="12" fillId="2" borderId="0" xfId="0" applyNumberFormat="1" applyFont="1" applyFill="1" applyAlignment="1" applyProtection="1">
      <protection locked="0"/>
    </xf>
    <xf numFmtId="0" fontId="12" fillId="2" borderId="0" xfId="0" applyFont="1" applyFill="1" applyAlignment="1" applyProtection="1">
      <alignment horizontal="left"/>
      <protection locked="0"/>
    </xf>
    <xf numFmtId="0" fontId="26" fillId="2" borderId="0" xfId="0" applyFont="1" applyFill="1" applyAlignment="1" applyProtection="1">
      <alignment horizontal="left"/>
      <protection locked="0"/>
    </xf>
    <xf numFmtId="0" fontId="13" fillId="6" borderId="0" xfId="0" applyFont="1" applyFill="1" applyAlignment="1" applyProtection="1">
      <alignment horizontal="right"/>
      <protection locked="0"/>
    </xf>
    <xf numFmtId="0" fontId="4" fillId="0" borderId="0" xfId="0" applyFont="1" applyFill="1" applyProtection="1">
      <protection locked="0"/>
    </xf>
    <xf numFmtId="0" fontId="4" fillId="0" borderId="0" xfId="0" applyFont="1" applyFill="1" applyAlignment="1" applyProtection="1">
      <alignment horizontal="right"/>
      <protection locked="0"/>
    </xf>
    <xf numFmtId="164" fontId="4" fillId="0" borderId="0" xfId="0" applyNumberFormat="1" applyFont="1" applyFill="1" applyAlignment="1" applyProtection="1">
      <alignment horizontal="right"/>
      <protection locked="0"/>
    </xf>
    <xf numFmtId="0" fontId="0" fillId="0" borderId="0" xfId="0" applyProtection="1">
      <protection locked="0"/>
    </xf>
    <xf numFmtId="0" fontId="16" fillId="0" borderId="0" xfId="0" applyFont="1" applyProtection="1">
      <protection locked="0"/>
    </xf>
    <xf numFmtId="0" fontId="8" fillId="0" borderId="0" xfId="0" applyFont="1" applyProtection="1">
      <protection locked="0"/>
    </xf>
    <xf numFmtId="0" fontId="0" fillId="0" borderId="0" xfId="0" applyAlignment="1" applyProtection="1">
      <protection locked="0"/>
    </xf>
    <xf numFmtId="0" fontId="0" fillId="0" borderId="0" xfId="0" applyAlignment="1" applyProtection="1">
      <alignment wrapText="1"/>
      <protection locked="0"/>
    </xf>
    <xf numFmtId="0" fontId="24" fillId="0" borderId="0" xfId="0" applyFont="1" applyAlignment="1" applyProtection="1">
      <protection locked="0"/>
    </xf>
    <xf numFmtId="0" fontId="22" fillId="0" borderId="0" xfId="0" applyFont="1" applyProtection="1">
      <protection locked="0"/>
    </xf>
    <xf numFmtId="0" fontId="28" fillId="0" borderId="0" xfId="0" applyFont="1" applyProtection="1">
      <protection locked="0"/>
    </xf>
    <xf numFmtId="0" fontId="29" fillId="0" borderId="0" xfId="0" applyFont="1" applyProtection="1">
      <protection locked="0"/>
    </xf>
    <xf numFmtId="10" fontId="0" fillId="0" borderId="0" xfId="0" applyNumberFormat="1" applyProtection="1">
      <protection locked="0"/>
    </xf>
    <xf numFmtId="9" fontId="29" fillId="0" borderId="9" xfId="14" applyNumberFormat="1" applyFont="1" applyBorder="1" applyAlignment="1" applyProtection="1">
      <alignment horizontal="left"/>
      <protection locked="0"/>
    </xf>
    <xf numFmtId="0" fontId="29" fillId="0" borderId="0" xfId="0" applyFont="1" applyBorder="1" applyProtection="1">
      <protection locked="0"/>
    </xf>
    <xf numFmtId="9" fontId="29" fillId="0" borderId="11" xfId="14" applyNumberFormat="1" applyFont="1" applyBorder="1" applyAlignment="1" applyProtection="1">
      <alignment horizontal="left"/>
      <protection locked="0"/>
    </xf>
    <xf numFmtId="0" fontId="0" fillId="0" borderId="0" xfId="0" applyBorder="1" applyProtection="1">
      <protection locked="0"/>
    </xf>
    <xf numFmtId="166" fontId="0" fillId="0" borderId="0" xfId="0" applyNumberFormat="1" applyProtection="1">
      <protection locked="0"/>
    </xf>
    <xf numFmtId="9" fontId="29" fillId="0" borderId="12" xfId="14" applyNumberFormat="1" applyFont="1" applyBorder="1" applyAlignment="1" applyProtection="1">
      <alignment horizontal="left"/>
      <protection locked="0"/>
    </xf>
    <xf numFmtId="0" fontId="29" fillId="0" borderId="13" xfId="0" applyFont="1" applyBorder="1" applyProtection="1">
      <protection locked="0"/>
    </xf>
    <xf numFmtId="0" fontId="0" fillId="0" borderId="13" xfId="0" applyBorder="1" applyProtection="1">
      <protection locked="0"/>
    </xf>
    <xf numFmtId="0" fontId="14" fillId="0" borderId="0" xfId="13" applyProtection="1">
      <protection locked="0"/>
    </xf>
    <xf numFmtId="0" fontId="5" fillId="0" borderId="0" xfId="11" applyAlignment="1" applyProtection="1">
      <protection locked="0"/>
    </xf>
    <xf numFmtId="0" fontId="31" fillId="0" borderId="0" xfId="0" applyFont="1" applyFill="1" applyBorder="1" applyAlignment="1" applyProtection="1">
      <alignment horizontal="left"/>
      <protection locked="0"/>
    </xf>
    <xf numFmtId="0" fontId="14" fillId="0" borderId="0" xfId="0" applyFont="1" applyFill="1" applyAlignment="1" applyProtection="1">
      <alignment horizontal="left"/>
      <protection locked="0"/>
    </xf>
    <xf numFmtId="2" fontId="4" fillId="0" borderId="0" xfId="0" applyNumberFormat="1" applyFont="1" applyFill="1" applyAlignment="1" applyProtection="1">
      <alignment horizontal="right"/>
      <protection locked="0"/>
    </xf>
    <xf numFmtId="164" fontId="4" fillId="0" borderId="2" xfId="0" applyNumberFormat="1" applyFont="1" applyFill="1" applyBorder="1" applyAlignment="1" applyProtection="1">
      <alignment horizontal="right"/>
      <protection locked="0"/>
    </xf>
    <xf numFmtId="164" fontId="4" fillId="0" borderId="5" xfId="0" applyNumberFormat="1" applyFont="1" applyFill="1" applyBorder="1" applyAlignment="1" applyProtection="1">
      <alignment horizontal="right"/>
      <protection locked="0"/>
    </xf>
    <xf numFmtId="164" fontId="4" fillId="0" borderId="2" xfId="0" applyNumberFormat="1" applyFont="1" applyFill="1" applyBorder="1" applyAlignment="1" applyProtection="1">
      <alignment horizontal="right"/>
    </xf>
    <xf numFmtId="0" fontId="27" fillId="0" borderId="2" xfId="0" applyFont="1" applyFill="1" applyBorder="1" applyAlignment="1" applyProtection="1">
      <alignment horizontal="center" wrapText="1"/>
      <protection locked="0"/>
    </xf>
    <xf numFmtId="0" fontId="4" fillId="0"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166" fontId="4" fillId="0" borderId="0" xfId="14" applyNumberFormat="1" applyFont="1" applyFill="1" applyProtection="1">
      <protection locked="0"/>
    </xf>
    <xf numFmtId="0" fontId="15" fillId="0" borderId="0" xfId="0" applyFont="1" applyFill="1" applyAlignment="1" applyProtection="1">
      <alignment horizontal="left"/>
      <protection locked="0"/>
    </xf>
    <xf numFmtId="164" fontId="15" fillId="0" borderId="2" xfId="0" applyNumberFormat="1" applyFont="1" applyFill="1" applyBorder="1" applyAlignment="1" applyProtection="1">
      <alignment horizontal="right"/>
      <protection locked="0"/>
    </xf>
    <xf numFmtId="0" fontId="15" fillId="0" borderId="0" xfId="0" applyFont="1" applyFill="1" applyAlignment="1" applyProtection="1">
      <protection locked="0"/>
    </xf>
    <xf numFmtId="0" fontId="0" fillId="0" borderId="0" xfId="0" applyFill="1" applyAlignment="1" applyProtection="1">
      <alignment horizontal="left"/>
      <protection locked="0"/>
    </xf>
    <xf numFmtId="0" fontId="0" fillId="0" borderId="0" xfId="0" applyFont="1" applyFill="1" applyAlignment="1" applyProtection="1">
      <alignment horizontal="left"/>
      <protection locked="0"/>
    </xf>
    <xf numFmtId="0" fontId="4" fillId="0" borderId="0" xfId="0" applyFont="1" applyFill="1" applyAlignment="1" applyProtection="1">
      <protection locked="0"/>
    </xf>
    <xf numFmtId="0" fontId="16" fillId="0" borderId="0" xfId="0" applyFont="1" applyFill="1" applyAlignment="1" applyProtection="1">
      <alignment horizontal="left"/>
      <protection locked="0"/>
    </xf>
    <xf numFmtId="0" fontId="14" fillId="0" borderId="0" xfId="0" applyFont="1" applyFill="1" applyAlignment="1" applyProtection="1">
      <protection locked="0"/>
    </xf>
    <xf numFmtId="165" fontId="4" fillId="0" borderId="0" xfId="0" applyNumberFormat="1" applyFont="1" applyFill="1" applyProtection="1">
      <protection locked="0"/>
    </xf>
    <xf numFmtId="164" fontId="4" fillId="0" borderId="5" xfId="0" applyNumberFormat="1" applyFont="1" applyFill="1" applyBorder="1" applyAlignment="1" applyProtection="1">
      <alignment horizontal="right"/>
    </xf>
    <xf numFmtId="164" fontId="11" fillId="7" borderId="6" xfId="0" applyNumberFormat="1" applyFont="1" applyFill="1" applyBorder="1" applyAlignment="1" applyProtection="1">
      <alignment horizontal="right"/>
      <protection locked="0"/>
    </xf>
    <xf numFmtId="164" fontId="11" fillId="6" borderId="6" xfId="0" applyNumberFormat="1" applyFont="1" applyFill="1" applyBorder="1" applyAlignment="1" applyProtection="1">
      <alignment horizontal="right"/>
      <protection locked="0"/>
    </xf>
    <xf numFmtId="164" fontId="11" fillId="2" borderId="6" xfId="0" applyNumberFormat="1" applyFont="1" applyFill="1" applyBorder="1" applyAlignment="1" applyProtection="1">
      <alignment horizontal="right"/>
    </xf>
    <xf numFmtId="164" fontId="11" fillId="2" borderId="7" xfId="0" applyNumberFormat="1" applyFont="1" applyFill="1" applyBorder="1" applyAlignment="1" applyProtection="1">
      <alignment horizontal="right"/>
    </xf>
    <xf numFmtId="2" fontId="4" fillId="6" borderId="0" xfId="0" applyNumberFormat="1" applyFont="1" applyFill="1" applyAlignment="1" applyProtection="1">
      <alignment horizontal="left"/>
      <protection locked="0"/>
    </xf>
    <xf numFmtId="164" fontId="11" fillId="0" borderId="5"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xf>
    <xf numFmtId="164" fontId="11" fillId="0" borderId="6" xfId="0" applyNumberFormat="1" applyFont="1" applyFill="1" applyBorder="1" applyAlignment="1" applyProtection="1">
      <alignment horizontal="right"/>
    </xf>
    <xf numFmtId="164" fontId="11" fillId="0" borderId="7" xfId="0" applyNumberFormat="1" applyFont="1" applyFill="1" applyBorder="1" applyAlignment="1" applyProtection="1">
      <alignment horizontal="right"/>
    </xf>
    <xf numFmtId="0" fontId="3" fillId="0" borderId="0" xfId="64" applyAlignment="1" applyProtection="1">
      <alignment horizontal="right"/>
      <protection locked="0"/>
    </xf>
    <xf numFmtId="0" fontId="3" fillId="0" borderId="0" xfId="64" applyProtection="1">
      <protection locked="0"/>
    </xf>
    <xf numFmtId="14" fontId="3" fillId="0" borderId="0" xfId="64" applyNumberFormat="1" applyProtection="1">
      <protection locked="0"/>
    </xf>
    <xf numFmtId="0" fontId="3" fillId="0" borderId="0" xfId="64" applyFont="1" applyAlignment="1" applyProtection="1">
      <alignment horizontal="right"/>
      <protection locked="0"/>
    </xf>
    <xf numFmtId="0" fontId="46" fillId="0" borderId="0" xfId="64" applyFont="1" applyAlignment="1" applyProtection="1">
      <alignment horizontal="center"/>
    </xf>
    <xf numFmtId="49" fontId="46" fillId="0" borderId="0" xfId="64" applyNumberFormat="1" applyFont="1" applyAlignment="1" applyProtection="1">
      <alignment horizontal="center"/>
    </xf>
    <xf numFmtId="0" fontId="3" fillId="0" borderId="0" xfId="64" applyProtection="1"/>
    <xf numFmtId="49" fontId="3" fillId="0" borderId="0" xfId="64" applyNumberFormat="1" applyAlignment="1" applyProtection="1">
      <alignment horizontal="center"/>
    </xf>
    <xf numFmtId="37" fontId="3" fillId="0" borderId="0" xfId="64" applyNumberFormat="1" applyProtection="1"/>
    <xf numFmtId="49" fontId="3" fillId="40" borderId="0" xfId="64" applyNumberFormat="1" applyFill="1" applyAlignment="1" applyProtection="1">
      <alignment horizontal="center"/>
    </xf>
    <xf numFmtId="0" fontId="3" fillId="0" borderId="0" xfId="64" applyAlignment="1" applyProtection="1">
      <alignment horizontal="left" indent="1"/>
    </xf>
    <xf numFmtId="37" fontId="3" fillId="0" borderId="24" xfId="64" applyNumberFormat="1" applyBorder="1" applyProtection="1"/>
    <xf numFmtId="37" fontId="3" fillId="0" borderId="0" xfId="64" applyNumberFormat="1" applyFill="1" applyBorder="1" applyProtection="1"/>
    <xf numFmtId="37" fontId="3" fillId="0" borderId="25" xfId="64" applyNumberFormat="1" applyBorder="1" applyProtection="1"/>
    <xf numFmtId="0" fontId="2" fillId="8" borderId="0" xfId="64" applyFont="1" applyFill="1" applyProtection="1">
      <protection locked="0"/>
    </xf>
    <xf numFmtId="166" fontId="4" fillId="0" borderId="0" xfId="0" applyNumberFormat="1" applyFont="1" applyFill="1" applyAlignment="1" applyProtection="1">
      <alignment horizontal="right"/>
      <protection locked="0"/>
    </xf>
    <xf numFmtId="0" fontId="4" fillId="2" borderId="0" xfId="0" applyFont="1" applyFill="1" applyAlignment="1">
      <alignment horizontal="center"/>
    </xf>
    <xf numFmtId="0" fontId="11" fillId="2" borderId="0" xfId="0" applyFont="1" applyFill="1" applyAlignment="1">
      <alignment horizontal="left"/>
    </xf>
    <xf numFmtId="0" fontId="12" fillId="2" borderId="0" xfId="0" applyFont="1" applyFill="1" applyAlignment="1"/>
    <xf numFmtId="0" fontId="0" fillId="0" borderId="0" xfId="0"/>
    <xf numFmtId="0" fontId="12" fillId="2" borderId="0" xfId="0" applyFont="1" applyFill="1"/>
    <xf numFmtId="164" fontId="12" fillId="2" borderId="0" xfId="0" applyNumberFormat="1" applyFont="1" applyFill="1"/>
    <xf numFmtId="0" fontId="4" fillId="2" borderId="0" xfId="0" applyFont="1" applyFill="1" applyAlignment="1">
      <alignment horizontal="left"/>
    </xf>
    <xf numFmtId="0" fontId="0" fillId="2" borderId="0" xfId="0" applyFill="1"/>
    <xf numFmtId="0" fontId="4" fillId="2" borderId="0" xfId="0" applyFont="1" applyFill="1" applyAlignment="1">
      <alignment horizontal="right"/>
    </xf>
    <xf numFmtId="0" fontId="51" fillId="6" borderId="0" xfId="0" applyFont="1" applyFill="1" applyProtection="1">
      <protection locked="0"/>
    </xf>
    <xf numFmtId="0" fontId="24" fillId="6"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0" fontId="4" fillId="0" borderId="0" xfId="13" applyFont="1" applyProtection="1">
      <protection locked="0"/>
    </xf>
    <xf numFmtId="0" fontId="4" fillId="0" borderId="0" xfId="59"/>
    <xf numFmtId="43" fontId="15" fillId="40" borderId="0" xfId="61" applyFont="1" applyFill="1" applyProtection="1">
      <protection hidden="1"/>
    </xf>
    <xf numFmtId="43" fontId="15" fillId="40" borderId="0" xfId="59" applyNumberFormat="1" applyFont="1" applyFill="1" applyProtection="1">
      <protection hidden="1"/>
    </xf>
    <xf numFmtId="166" fontId="52" fillId="40" borderId="0" xfId="14" applyNumberFormat="1" applyFont="1" applyFill="1" applyBorder="1" applyProtection="1">
      <protection hidden="1"/>
    </xf>
    <xf numFmtId="0" fontId="4" fillId="40" borderId="0" xfId="59" applyFill="1" applyAlignment="1" applyProtection="1">
      <alignment horizontal="center"/>
      <protection hidden="1"/>
    </xf>
    <xf numFmtId="0" fontId="4" fillId="40" borderId="0" xfId="59" applyFill="1" applyBorder="1" applyAlignment="1" applyProtection="1">
      <alignment horizontal="center"/>
      <protection hidden="1"/>
    </xf>
    <xf numFmtId="0" fontId="4" fillId="40" borderId="0" xfId="59" applyFill="1" applyProtection="1">
      <protection hidden="1"/>
    </xf>
    <xf numFmtId="43" fontId="15" fillId="40" borderId="0" xfId="59" applyNumberFormat="1" applyFont="1" applyFill="1" applyAlignment="1">
      <alignment horizontal="center"/>
    </xf>
    <xf numFmtId="0" fontId="4" fillId="40" borderId="0" xfId="59" applyFill="1"/>
    <xf numFmtId="0" fontId="15" fillId="40" borderId="0" xfId="59" applyFont="1" applyFill="1" applyAlignment="1">
      <alignment horizontal="right"/>
    </xf>
    <xf numFmtId="43" fontId="0" fillId="42" borderId="13" xfId="61" applyFont="1" applyFill="1" applyBorder="1" applyProtection="1">
      <protection hidden="1"/>
    </xf>
    <xf numFmtId="43" fontId="4" fillId="42" borderId="13" xfId="59" applyNumberFormat="1" applyFill="1" applyBorder="1" applyProtection="1">
      <protection hidden="1"/>
    </xf>
    <xf numFmtId="9" fontId="4" fillId="42" borderId="13" xfId="14" quotePrefix="1" applyFont="1" applyFill="1" applyBorder="1" applyProtection="1">
      <protection hidden="1"/>
    </xf>
    <xf numFmtId="0" fontId="4" fillId="42" borderId="13" xfId="59" applyFill="1" applyBorder="1" applyAlignment="1" applyProtection="1">
      <alignment horizontal="center"/>
      <protection hidden="1"/>
    </xf>
    <xf numFmtId="0" fontId="4" fillId="42" borderId="13" xfId="59" applyFill="1" applyBorder="1" applyProtection="1">
      <protection hidden="1"/>
    </xf>
    <xf numFmtId="0" fontId="4" fillId="42" borderId="13" xfId="59" applyFill="1" applyBorder="1" applyAlignment="1">
      <alignment horizontal="center"/>
    </xf>
    <xf numFmtId="0" fontId="4" fillId="0" borderId="13" xfId="59" applyBorder="1" applyAlignment="1" applyProtection="1">
      <alignment horizontal="center"/>
      <protection hidden="1"/>
    </xf>
    <xf numFmtId="0" fontId="4" fillId="0" borderId="13" xfId="59" applyBorder="1"/>
    <xf numFmtId="43" fontId="0" fillId="42" borderId="0" xfId="61" applyFont="1" applyFill="1" applyBorder="1" applyProtection="1">
      <protection hidden="1"/>
    </xf>
    <xf numFmtId="43" fontId="4" fillId="42" borderId="0" xfId="59" applyNumberFormat="1" applyFill="1" applyBorder="1" applyProtection="1">
      <protection hidden="1"/>
    </xf>
    <xf numFmtId="9" fontId="4" fillId="42" borderId="0" xfId="14" quotePrefix="1" applyFont="1" applyFill="1" applyBorder="1" applyProtection="1">
      <protection hidden="1"/>
    </xf>
    <xf numFmtId="0" fontId="4" fillId="42" borderId="0" xfId="59" applyFill="1" applyBorder="1" applyAlignment="1" applyProtection="1">
      <alignment horizontal="center"/>
      <protection hidden="1"/>
    </xf>
    <xf numFmtId="0" fontId="4" fillId="42" borderId="0" xfId="59" applyFill="1" applyBorder="1" applyProtection="1">
      <protection hidden="1"/>
    </xf>
    <xf numFmtId="0" fontId="4" fillId="42" borderId="0" xfId="59" applyFill="1" applyBorder="1" applyAlignment="1">
      <alignment horizontal="center"/>
    </xf>
    <xf numFmtId="0" fontId="4" fillId="0" borderId="0" xfId="59" applyAlignment="1" applyProtection="1">
      <alignment horizontal="center"/>
      <protection hidden="1"/>
    </xf>
    <xf numFmtId="0" fontId="4" fillId="0" borderId="0" xfId="59" applyFont="1"/>
    <xf numFmtId="14" fontId="4" fillId="0" borderId="26" xfId="59" applyNumberFormat="1" applyBorder="1" applyProtection="1">
      <protection locked="0"/>
    </xf>
    <xf numFmtId="0" fontId="15" fillId="8" borderId="27" xfId="59" applyFont="1" applyFill="1" applyBorder="1"/>
    <xf numFmtId="0" fontId="4" fillId="42" borderId="24"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4" fillId="40" borderId="0" xfId="59" quotePrefix="1" applyFont="1" applyFill="1" applyBorder="1" applyAlignment="1">
      <alignment horizontal="center"/>
    </xf>
    <xf numFmtId="0" fontId="15" fillId="8" borderId="26" xfId="59" applyFont="1" applyFill="1" applyBorder="1"/>
    <xf numFmtId="0" fontId="15" fillId="42" borderId="13" xfId="59" applyFont="1" applyFill="1" applyBorder="1" applyAlignment="1" applyProtection="1">
      <alignment horizontal="center"/>
      <protection hidden="1"/>
    </xf>
    <xf numFmtId="0" fontId="15" fillId="42" borderId="13" xfId="59" applyFont="1" applyFill="1" applyBorder="1" applyProtection="1">
      <protection hidden="1"/>
    </xf>
    <xf numFmtId="0" fontId="4" fillId="42" borderId="13" xfId="59" applyFont="1" applyFill="1" applyBorder="1" applyAlignment="1" applyProtection="1">
      <alignment horizontal="center"/>
      <protection hidden="1"/>
    </xf>
    <xf numFmtId="0" fontId="15" fillId="42" borderId="28" xfId="59" applyFont="1" applyFill="1" applyBorder="1" applyProtection="1">
      <protection hidden="1"/>
    </xf>
    <xf numFmtId="0" fontId="15" fillId="8" borderId="29" xfId="59" applyFont="1" applyFill="1" applyBorder="1" applyAlignment="1">
      <alignment horizontal="center"/>
    </xf>
    <xf numFmtId="0" fontId="15" fillId="8" borderId="0" xfId="59" applyFont="1" applyFill="1" applyAlignment="1">
      <alignment horizontal="center"/>
    </xf>
    <xf numFmtId="0" fontId="4" fillId="0" borderId="0" xfId="59" applyFont="1" applyAlignment="1">
      <alignment horizontal="center"/>
    </xf>
    <xf numFmtId="0" fontId="4" fillId="0" borderId="0" xfId="59" applyAlignment="1">
      <alignment horizontal="center"/>
    </xf>
    <xf numFmtId="0" fontId="15" fillId="8" borderId="0" xfId="59" applyFont="1" applyFill="1" applyAlignment="1">
      <alignment horizontal="left"/>
    </xf>
    <xf numFmtId="0" fontId="15" fillId="0" borderId="0" xfId="59" applyFont="1" applyAlignment="1">
      <alignment vertical="center"/>
    </xf>
    <xf numFmtId="43" fontId="4" fillId="0" borderId="0" xfId="59" applyNumberFormat="1"/>
    <xf numFmtId="169" fontId="4" fillId="0" borderId="0" xfId="59" applyNumberFormat="1"/>
    <xf numFmtId="0" fontId="4" fillId="0" borderId="0" xfId="59" quotePrefix="1" applyFont="1"/>
    <xf numFmtId="0" fontId="4" fillId="42" borderId="30" xfId="59" applyFont="1" applyFill="1" applyBorder="1" applyAlignment="1" applyProtection="1">
      <alignment horizontal="center"/>
      <protection hidden="1"/>
    </xf>
    <xf numFmtId="0" fontId="4" fillId="0" borderId="0" xfId="59" applyFill="1" applyAlignment="1" applyProtection="1">
      <alignment horizontal="center"/>
      <protection hidden="1"/>
    </xf>
    <xf numFmtId="0" fontId="4" fillId="0" borderId="0" xfId="59" applyProtection="1">
      <protection hidden="1"/>
    </xf>
    <xf numFmtId="9" fontId="0" fillId="40" borderId="0" xfId="14" applyFont="1" applyFill="1" applyAlignment="1" applyProtection="1">
      <alignment horizontal="center"/>
      <protection hidden="1"/>
    </xf>
    <xf numFmtId="14" fontId="4" fillId="40" borderId="0" xfId="59" applyNumberFormat="1" applyFill="1" applyAlignment="1" applyProtection="1">
      <alignment horizontal="center"/>
      <protection hidden="1"/>
    </xf>
    <xf numFmtId="14" fontId="4" fillId="40" borderId="0" xfId="59" applyNumberFormat="1" applyFill="1" applyBorder="1" applyAlignment="1" applyProtection="1">
      <alignment horizontal="center"/>
      <protection hidden="1"/>
    </xf>
    <xf numFmtId="0" fontId="4" fillId="0" borderId="0" xfId="59" quotePrefix="1" applyFont="1" applyFill="1"/>
    <xf numFmtId="0" fontId="4" fillId="0" borderId="0" xfId="59" quotePrefix="1" applyFill="1"/>
    <xf numFmtId="0" fontId="15" fillId="40" borderId="13" xfId="59" applyFont="1" applyFill="1" applyBorder="1" applyAlignment="1" applyProtection="1">
      <alignment horizontal="center"/>
      <protection hidden="1"/>
    </xf>
    <xf numFmtId="0" fontId="4" fillId="40" borderId="13" xfId="59" applyFill="1" applyBorder="1" applyAlignment="1" applyProtection="1">
      <alignment horizontal="center"/>
      <protection hidden="1"/>
    </xf>
    <xf numFmtId="0" fontId="4" fillId="0" borderId="0" xfId="59" applyFill="1"/>
    <xf numFmtId="0" fontId="15" fillId="40" borderId="0" xfId="59" applyFont="1" applyFill="1" applyAlignment="1" applyProtection="1">
      <alignment horizontal="left" wrapText="1"/>
      <protection hidden="1"/>
    </xf>
    <xf numFmtId="43" fontId="15" fillId="41" borderId="27" xfId="59" applyNumberFormat="1" applyFont="1" applyFill="1" applyBorder="1" applyAlignment="1">
      <alignment horizontal="center"/>
    </xf>
    <xf numFmtId="0" fontId="4" fillId="0" borderId="31" xfId="59" applyFill="1" applyBorder="1"/>
    <xf numFmtId="0" fontId="4" fillId="0" borderId="32" xfId="59" applyFont="1" applyFill="1" applyBorder="1"/>
    <xf numFmtId="0" fontId="15" fillId="0" borderId="0" xfId="59" applyFont="1" applyAlignment="1">
      <alignment horizontal="left"/>
    </xf>
    <xf numFmtId="0" fontId="15" fillId="0" borderId="29" xfId="59" applyFont="1" applyBorder="1" applyAlignment="1">
      <alignment horizontal="center"/>
    </xf>
    <xf numFmtId="0" fontId="4" fillId="0" borderId="33" xfId="59" applyBorder="1"/>
    <xf numFmtId="0" fontId="4" fillId="0" borderId="34" xfId="59" applyFont="1" applyBorder="1"/>
    <xf numFmtId="0" fontId="15" fillId="0" borderId="0" xfId="59" applyFont="1"/>
    <xf numFmtId="165" fontId="0" fillId="0" borderId="0" xfId="0" applyNumberFormat="1" applyProtection="1">
      <protection locked="0"/>
    </xf>
    <xf numFmtId="0" fontId="12" fillId="6" borderId="2" xfId="0" applyFont="1" applyFill="1" applyBorder="1" applyAlignment="1" applyProtection="1">
      <alignment horizontal="center"/>
      <protection locked="0"/>
    </xf>
    <xf numFmtId="0" fontId="4" fillId="2" borderId="0" xfId="0" applyFont="1" applyFill="1" applyBorder="1" applyProtection="1">
      <protection locked="0"/>
    </xf>
    <xf numFmtId="14" fontId="51" fillId="0" borderId="2" xfId="0" applyNumberFormat="1" applyFont="1" applyFill="1" applyBorder="1" applyAlignment="1" applyProtection="1">
      <alignment horizontal="center"/>
      <protection locked="0"/>
    </xf>
    <xf numFmtId="2" fontId="0" fillId="6" borderId="0" xfId="0" applyNumberFormat="1" applyFont="1" applyFill="1" applyAlignment="1" applyProtection="1">
      <alignment horizontal="right"/>
      <protection locked="0"/>
    </xf>
    <xf numFmtId="0" fontId="0" fillId="6" borderId="0" xfId="0" applyFont="1" applyFill="1" applyAlignment="1" applyProtection="1">
      <alignment horizontal="right"/>
      <protection locked="0"/>
    </xf>
    <xf numFmtId="9" fontId="0" fillId="6" borderId="0" xfId="0" applyNumberFormat="1" applyFont="1" applyFill="1" applyAlignment="1" applyProtection="1">
      <alignment horizontal="right"/>
      <protection locked="0"/>
    </xf>
    <xf numFmtId="0" fontId="7" fillId="43" borderId="0" xfId="0" applyFont="1" applyFill="1" applyAlignment="1" applyProtection="1">
      <alignment horizontal="left"/>
      <protection locked="0"/>
    </xf>
    <xf numFmtId="0" fontId="7" fillId="43" borderId="0" xfId="0" applyFont="1" applyFill="1" applyAlignment="1" applyProtection="1">
      <alignment horizontal="center"/>
      <protection locked="0"/>
    </xf>
    <xf numFmtId="167" fontId="7" fillId="43" borderId="0" xfId="0" applyNumberFormat="1" applyFont="1" applyFill="1" applyAlignment="1" applyProtection="1">
      <alignment horizontal="center"/>
      <protection locked="0"/>
    </xf>
    <xf numFmtId="0" fontId="10" fillId="43" borderId="0" xfId="0" applyFont="1" applyFill="1" applyAlignment="1" applyProtection="1">
      <protection locked="0"/>
    </xf>
    <xf numFmtId="0" fontId="9" fillId="43" borderId="0" xfId="0" applyFont="1" applyFill="1" applyAlignment="1" applyProtection="1">
      <protection locked="0"/>
    </xf>
    <xf numFmtId="14" fontId="9" fillId="43" borderId="0" xfId="0" applyNumberFormat="1" applyFont="1" applyFill="1" applyAlignment="1" applyProtection="1">
      <protection locked="0"/>
    </xf>
    <xf numFmtId="14" fontId="10" fillId="43" borderId="0" xfId="0" applyNumberFormat="1" applyFont="1" applyFill="1" applyAlignment="1" applyProtection="1">
      <protection locked="0"/>
    </xf>
    <xf numFmtId="0" fontId="10" fillId="44" borderId="2" xfId="0" applyFont="1" applyFill="1" applyBorder="1" applyAlignment="1" applyProtection="1">
      <alignment horizontal="center"/>
      <protection locked="0"/>
    </xf>
    <xf numFmtId="0" fontId="10" fillId="44" borderId="5" xfId="0" applyFont="1" applyFill="1" applyBorder="1" applyAlignment="1" applyProtection="1">
      <alignment horizontal="center"/>
      <protection locked="0"/>
    </xf>
    <xf numFmtId="14" fontId="53" fillId="42" borderId="2" xfId="0" applyNumberFormat="1" applyFont="1" applyFill="1" applyBorder="1" applyAlignment="1" applyProtection="1">
      <protection locked="0"/>
    </xf>
    <xf numFmtId="0" fontId="0" fillId="43" borderId="0" xfId="0" applyFill="1" applyProtection="1">
      <protection locked="0"/>
    </xf>
    <xf numFmtId="0" fontId="4" fillId="0" borderId="2" xfId="0" applyFont="1" applyFill="1" applyBorder="1" applyAlignment="1" applyProtection="1">
      <protection locked="0"/>
    </xf>
    <xf numFmtId="0" fontId="54" fillId="43" borderId="0" xfId="0" applyFont="1" applyFill="1" applyAlignment="1" applyProtection="1">
      <protection locked="0"/>
    </xf>
    <xf numFmtId="0" fontId="16" fillId="43" borderId="0" xfId="0" applyFont="1" applyFill="1" applyAlignment="1" applyProtection="1">
      <protection locked="0"/>
    </xf>
    <xf numFmtId="0" fontId="53" fillId="43" borderId="0" xfId="0" applyFont="1" applyFill="1" applyAlignment="1" applyProtection="1">
      <protection locked="0"/>
    </xf>
    <xf numFmtId="0" fontId="55" fillId="43" borderId="0" xfId="0" applyFont="1" applyFill="1" applyAlignment="1" applyProtection="1">
      <protection locked="0"/>
    </xf>
    <xf numFmtId="0" fontId="53" fillId="43" borderId="0" xfId="0" applyFont="1" applyFill="1" applyProtection="1">
      <protection locked="0"/>
    </xf>
    <xf numFmtId="14" fontId="53" fillId="43" borderId="0" xfId="0" applyNumberFormat="1" applyFont="1" applyFill="1" applyAlignment="1" applyProtection="1">
      <protection locked="0"/>
    </xf>
    <xf numFmtId="14" fontId="51" fillId="0" borderId="0" xfId="0" applyNumberFormat="1" applyFont="1"/>
    <xf numFmtId="0" fontId="4" fillId="2" borderId="0" xfId="0" applyFont="1" applyFill="1"/>
    <xf numFmtId="0" fontId="4" fillId="2" borderId="0" xfId="0" applyFont="1" applyFill="1" applyAlignment="1">
      <alignment wrapText="1"/>
    </xf>
    <xf numFmtId="0" fontId="12" fillId="2" borderId="0" xfId="0" applyFont="1" applyFill="1" applyAlignment="1">
      <alignment horizontal="left"/>
    </xf>
    <xf numFmtId="0" fontId="12" fillId="2" borderId="0" xfId="0" applyFont="1" applyFill="1" applyAlignment="1">
      <alignment vertical="top"/>
    </xf>
    <xf numFmtId="0" fontId="12" fillId="4" borderId="0" xfId="0" applyNumberFormat="1" applyFont="1" applyFill="1" applyAlignment="1" applyProtection="1">
      <alignment horizontal="left"/>
      <protection locked="0"/>
    </xf>
    <xf numFmtId="0" fontId="12" fillId="3" borderId="0" xfId="0" applyFont="1" applyFill="1" applyBorder="1" applyAlignment="1" applyProtection="1">
      <alignment horizontal="left"/>
    </xf>
    <xf numFmtId="0" fontId="12" fillId="3" borderId="0" xfId="0" applyFont="1" applyFill="1" applyAlignment="1" applyProtection="1">
      <alignment horizontal="left"/>
    </xf>
    <xf numFmtId="0" fontId="12" fillId="3" borderId="0" xfId="0" applyFont="1" applyFill="1" applyProtection="1"/>
    <xf numFmtId="0" fontId="4" fillId="2" borderId="0" xfId="0" applyFont="1" applyFill="1" applyAlignment="1">
      <alignment textRotation="90" wrapText="1"/>
    </xf>
    <xf numFmtId="0" fontId="4" fillId="2"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wrapText="1"/>
    </xf>
    <xf numFmtId="0" fontId="4" fillId="2" borderId="0" xfId="0" applyFont="1" applyFill="1" applyAlignment="1" applyProtection="1">
      <alignment horizontal="right"/>
    </xf>
    <xf numFmtId="0" fontId="4" fillId="2" borderId="0" xfId="0" applyFont="1" applyFill="1" applyProtection="1"/>
    <xf numFmtId="0" fontId="4" fillId="3" borderId="0" xfId="0" applyFont="1" applyFill="1" applyAlignment="1">
      <alignment horizontal="left"/>
    </xf>
    <xf numFmtId="0" fontId="4" fillId="3" borderId="0" xfId="0" applyFont="1" applyFill="1"/>
    <xf numFmtId="0" fontId="4" fillId="4" borderId="2" xfId="0" applyFont="1" applyFill="1" applyBorder="1" applyAlignment="1" applyProtection="1">
      <alignment horizontal="center" vertical="center"/>
      <protection locked="0"/>
    </xf>
    <xf numFmtId="0" fontId="4" fillId="0" borderId="2" xfId="0" applyFont="1" applyBorder="1" applyAlignment="1" applyProtection="1">
      <alignment horizontal="center" vertical="center" wrapText="1"/>
      <protection locked="0"/>
    </xf>
    <xf numFmtId="0" fontId="4" fillId="4" borderId="0" xfId="0" applyFont="1" applyFill="1" applyAlignment="1" applyProtection="1">
      <alignment horizontal="right"/>
      <protection locked="0"/>
    </xf>
    <xf numFmtId="0" fontId="4" fillId="2" borderId="0" xfId="0" applyFont="1" applyFill="1" applyAlignment="1">
      <alignment horizontal="center" vertical="center" textRotation="15"/>
    </xf>
    <xf numFmtId="0" fontId="4" fillId="2" borderId="0" xfId="0" applyFont="1" applyFill="1" applyAlignment="1">
      <alignment horizontal="center" vertical="center"/>
    </xf>
    <xf numFmtId="0" fontId="4" fillId="4" borderId="2" xfId="0" applyFont="1" applyFill="1" applyBorder="1" applyAlignment="1" applyProtection="1">
      <alignment horizontal="center" vertical="center" wrapText="1"/>
      <protection locked="0"/>
    </xf>
    <xf numFmtId="0" fontId="4" fillId="3" borderId="0" xfId="0" applyFont="1" applyFill="1" applyAlignment="1">
      <alignment horizontal="right"/>
    </xf>
    <xf numFmtId="0" fontId="4" fillId="4" borderId="3"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164" fontId="12" fillId="2" borderId="0" xfId="0" applyNumberFormat="1" applyFont="1" applyFill="1" applyProtection="1"/>
    <xf numFmtId="0" fontId="12" fillId="2" borderId="0" xfId="0" applyFont="1" applyFill="1" applyProtection="1"/>
    <xf numFmtId="0" fontId="4" fillId="3" borderId="0" xfId="0" applyFont="1" applyFill="1" applyAlignment="1" applyProtection="1">
      <alignment horizontal="left"/>
    </xf>
    <xf numFmtId="0" fontId="4" fillId="3" borderId="0" xfId="0" applyFont="1" applyFill="1" applyProtection="1"/>
    <xf numFmtId="0" fontId="4" fillId="2" borderId="0" xfId="0" applyFont="1" applyFill="1" applyAlignment="1" applyProtection="1">
      <alignment horizontal="center" vertical="center" textRotation="15"/>
    </xf>
    <xf numFmtId="0" fontId="4" fillId="2" borderId="0" xfId="0" applyFont="1" applyFill="1" applyAlignment="1" applyProtection="1">
      <alignment horizontal="center" vertical="center"/>
    </xf>
    <xf numFmtId="0" fontId="4" fillId="3" borderId="0" xfId="0" applyFont="1" applyFill="1" applyAlignment="1" applyProtection="1">
      <alignment horizontal="center" vertical="center"/>
    </xf>
    <xf numFmtId="0" fontId="12" fillId="3" borderId="0" xfId="0" applyFont="1" applyFill="1" applyAlignment="1">
      <alignment horizontal="left"/>
    </xf>
    <xf numFmtId="0" fontId="12" fillId="3" borderId="0" xfId="0" applyFont="1" applyFill="1"/>
    <xf numFmtId="0" fontId="56" fillId="0" borderId="0" xfId="0" applyFont="1"/>
    <xf numFmtId="0" fontId="12" fillId="41" borderId="2" xfId="0" applyFont="1" applyFill="1" applyBorder="1" applyAlignment="1" applyProtection="1">
      <alignment horizontal="center"/>
      <protection locked="0"/>
    </xf>
    <xf numFmtId="0" fontId="12" fillId="41" borderId="0" xfId="0" applyFont="1" applyFill="1" applyAlignment="1" applyProtection="1">
      <alignment horizontal="center"/>
      <protection locked="0"/>
    </xf>
    <xf numFmtId="164" fontId="4" fillId="41" borderId="0" xfId="0" applyNumberFormat="1" applyFont="1" applyFill="1" applyBorder="1" applyAlignment="1" applyProtection="1">
      <alignment horizontal="right"/>
      <protection locked="0"/>
    </xf>
    <xf numFmtId="164" fontId="4" fillId="41" borderId="2" xfId="0" applyNumberFormat="1" applyFont="1" applyFill="1" applyBorder="1" applyAlignment="1" applyProtection="1">
      <alignment horizontal="right"/>
    </xf>
    <xf numFmtId="0" fontId="12" fillId="41" borderId="0" xfId="0" applyFont="1" applyFill="1" applyAlignment="1" applyProtection="1">
      <alignment horizontal="center"/>
    </xf>
    <xf numFmtId="170" fontId="53" fillId="42" borderId="2" xfId="0" applyNumberFormat="1" applyFont="1" applyFill="1" applyBorder="1" applyAlignment="1" applyProtection="1">
      <protection locked="0"/>
    </xf>
    <xf numFmtId="0" fontId="0" fillId="41" borderId="0" xfId="0" applyFill="1"/>
    <xf numFmtId="0" fontId="12" fillId="2" borderId="0" xfId="0" applyFont="1" applyFill="1" applyAlignment="1">
      <alignment horizontal="left"/>
    </xf>
    <xf numFmtId="0" fontId="4" fillId="4" borderId="2"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right"/>
    </xf>
    <xf numFmtId="0" fontId="4" fillId="2" borderId="0" xfId="59" applyFont="1" applyFill="1" applyAlignment="1">
      <alignment horizontal="right"/>
    </xf>
    <xf numFmtId="0" fontId="12" fillId="2" borderId="0" xfId="59" applyFont="1" applyFill="1"/>
    <xf numFmtId="3" fontId="50" fillId="45" borderId="0" xfId="85" applyNumberFormat="1" applyFill="1"/>
    <xf numFmtId="3" fontId="4" fillId="2" borderId="0" xfId="59" applyNumberFormat="1" applyFont="1" applyFill="1"/>
    <xf numFmtId="0" fontId="4" fillId="2" borderId="0" xfId="59" applyFont="1" applyFill="1"/>
    <xf numFmtId="164" fontId="12" fillId="2" borderId="0" xfId="59" applyNumberFormat="1" applyFont="1" applyFill="1"/>
    <xf numFmtId="3" fontId="50" fillId="46" borderId="0" xfId="85" applyNumberFormat="1" applyFill="1"/>
    <xf numFmtId="0" fontId="12" fillId="2" borderId="0" xfId="59" applyFont="1" applyFill="1" applyAlignment="1">
      <alignment horizontal="right"/>
    </xf>
    <xf numFmtId="3" fontId="50" fillId="8" borderId="0" xfId="85" applyNumberFormat="1" applyFill="1"/>
    <xf numFmtId="3" fontId="4" fillId="2" borderId="0" xfId="60" applyNumberFormat="1" applyFont="1" applyFill="1"/>
    <xf numFmtId="0" fontId="12" fillId="2" borderId="0" xfId="59" applyFont="1" applyFill="1" applyAlignment="1">
      <alignment horizontal="center"/>
    </xf>
    <xf numFmtId="0" fontId="4" fillId="41" borderId="0" xfId="59" applyFont="1" applyFill="1"/>
    <xf numFmtId="0" fontId="12" fillId="41" borderId="0" xfId="59" applyFont="1" applyFill="1"/>
    <xf numFmtId="3" fontId="4" fillId="41" borderId="0" xfId="60" applyNumberFormat="1" applyFont="1" applyFill="1"/>
    <xf numFmtId="0" fontId="0" fillId="6" borderId="0" xfId="0" applyFill="1" applyAlignment="1">
      <alignment wrapText="1"/>
    </xf>
    <xf numFmtId="0" fontId="12" fillId="6" borderId="0" xfId="0" applyFont="1" applyFill="1"/>
    <xf numFmtId="164" fontId="12" fillId="6" borderId="0" xfId="0" applyNumberFormat="1" applyFont="1" applyFill="1"/>
    <xf numFmtId="0" fontId="57" fillId="0" borderId="0" xfId="0" applyFont="1"/>
    <xf numFmtId="170" fontId="4" fillId="0" borderId="0" xfId="0" applyNumberFormat="1" applyFont="1" applyFill="1" applyAlignment="1" applyProtection="1">
      <alignment horizontal="right"/>
      <protection locked="0"/>
    </xf>
    <xf numFmtId="10" fontId="58" fillId="43" borderId="0" xfId="0" applyNumberFormat="1" applyFont="1" applyFill="1" applyAlignment="1" applyProtection="1">
      <protection locked="0"/>
    </xf>
    <xf numFmtId="0" fontId="9" fillId="43" borderId="0" xfId="0" applyFont="1" applyFill="1" applyAlignment="1" applyProtection="1">
      <alignment horizontal="right"/>
      <protection locked="0"/>
    </xf>
    <xf numFmtId="0" fontId="9" fillId="43" borderId="0" xfId="0" applyFont="1" applyFill="1" applyAlignment="1" applyProtection="1">
      <alignment horizontal="right"/>
      <protection locked="0"/>
    </xf>
    <xf numFmtId="166" fontId="4" fillId="0" borderId="0" xfId="0" applyNumberFormat="1" applyFont="1" applyFill="1" applyAlignment="1" applyProtection="1">
      <alignment horizontal="right"/>
      <protection locked="0"/>
    </xf>
    <xf numFmtId="166" fontId="4" fillId="0" borderId="0" xfId="0" applyNumberFormat="1" applyFont="1" applyFill="1" applyBorder="1" applyAlignment="1" applyProtection="1">
      <alignment horizontal="right"/>
      <protection locked="0"/>
    </xf>
    <xf numFmtId="0" fontId="0" fillId="0" borderId="2" xfId="0" applyBorder="1" applyProtection="1">
      <protection locked="0"/>
    </xf>
    <xf numFmtId="0" fontId="29" fillId="0" borderId="24" xfId="0" applyFont="1" applyBorder="1" applyProtection="1">
      <protection locked="0"/>
    </xf>
    <xf numFmtId="0" fontId="0" fillId="0" borderId="24" xfId="0" applyBorder="1" applyProtection="1">
      <protection locked="0"/>
    </xf>
    <xf numFmtId="0" fontId="0" fillId="0" borderId="10"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9" xfId="0" applyBorder="1" applyProtection="1">
      <protection locked="0"/>
    </xf>
    <xf numFmtId="0" fontId="8" fillId="0" borderId="24" xfId="0" applyFont="1" applyBorder="1" applyProtection="1">
      <protection locked="0"/>
    </xf>
    <xf numFmtId="0" fontId="8" fillId="0" borderId="10" xfId="0" applyFont="1" applyBorder="1" applyProtection="1">
      <protection locked="0"/>
    </xf>
    <xf numFmtId="0" fontId="8" fillId="0" borderId="0" xfId="0" applyFont="1" applyBorder="1" applyProtection="1">
      <protection locked="0"/>
    </xf>
    <xf numFmtId="0" fontId="8" fillId="0" borderId="4" xfId="0" applyFont="1" applyBorder="1" applyProtection="1">
      <protection locked="0"/>
    </xf>
    <xf numFmtId="0" fontId="0" fillId="0" borderId="11" xfId="0" applyBorder="1" applyProtection="1">
      <protection locked="0"/>
    </xf>
    <xf numFmtId="0" fontId="0" fillId="0" borderId="12" xfId="0" applyBorder="1" applyProtection="1">
      <protection locked="0"/>
    </xf>
    <xf numFmtId="0" fontId="8" fillId="0" borderId="13" xfId="0" applyFont="1" applyBorder="1" applyProtection="1">
      <protection locked="0"/>
    </xf>
    <xf numFmtId="0" fontId="8" fillId="0" borderId="14" xfId="0" applyFont="1" applyBorder="1" applyProtection="1">
      <protection locked="0"/>
    </xf>
    <xf numFmtId="9" fontId="29" fillId="0" borderId="0" xfId="14" applyNumberFormat="1" applyFont="1" applyBorder="1" applyAlignment="1" applyProtection="1">
      <alignment horizontal="left"/>
      <protection locked="0"/>
    </xf>
    <xf numFmtId="10" fontId="0" fillId="47" borderId="2" xfId="14" applyNumberFormat="1" applyFont="1" applyFill="1" applyBorder="1" applyProtection="1"/>
    <xf numFmtId="0" fontId="56" fillId="0" borderId="4" xfId="0" applyFont="1" applyBorder="1" applyProtection="1"/>
    <xf numFmtId="0" fontId="4" fillId="0" borderId="0" xfId="0" applyFont="1" applyBorder="1" applyProtection="1">
      <protection locked="0"/>
    </xf>
    <xf numFmtId="0" fontId="4" fillId="0" borderId="13" xfId="0" applyFont="1" applyBorder="1" applyProtection="1">
      <protection locked="0"/>
    </xf>
    <xf numFmtId="0" fontId="9" fillId="43" borderId="0" xfId="0" applyFont="1" applyFill="1" applyAlignment="1" applyProtection="1">
      <alignment horizontal="right"/>
      <protection locked="0"/>
    </xf>
    <xf numFmtId="164" fontId="11" fillId="7" borderId="3" xfId="0" applyNumberFormat="1" applyFont="1" applyFill="1" applyBorder="1" applyAlignment="1" applyProtection="1">
      <alignment horizontal="right"/>
      <protection locked="0"/>
    </xf>
    <xf numFmtId="164" fontId="11" fillId="7" borderId="3" xfId="0" applyNumberFormat="1" applyFont="1" applyFill="1" applyBorder="1" applyAlignment="1" applyProtection="1">
      <alignment horizontal="right"/>
    </xf>
    <xf numFmtId="164" fontId="11" fillId="0" borderId="3" xfId="0" applyNumberFormat="1" applyFont="1" applyFill="1" applyBorder="1" applyAlignment="1" applyProtection="1">
      <alignment horizontal="right"/>
    </xf>
    <xf numFmtId="166" fontId="4" fillId="0" borderId="0" xfId="0" applyNumberFormat="1" applyFont="1" applyFill="1" applyAlignment="1" applyProtection="1">
      <alignment horizontal="right"/>
      <protection locked="0"/>
    </xf>
    <xf numFmtId="0" fontId="11" fillId="41" borderId="0" xfId="0" applyFont="1" applyFill="1" applyAlignment="1" applyProtection="1">
      <alignment horizontal="left"/>
      <protection locked="0"/>
    </xf>
    <xf numFmtId="0" fontId="4" fillId="41" borderId="0" xfId="0" applyFont="1" applyFill="1" applyAlignment="1" applyProtection="1">
      <alignment horizontal="right"/>
      <protection locked="0"/>
    </xf>
    <xf numFmtId="0" fontId="60" fillId="0" borderId="0" xfId="0" applyFont="1"/>
    <xf numFmtId="0" fontId="4" fillId="0" borderId="0" xfId="0" applyFont="1"/>
    <xf numFmtId="0" fontId="4" fillId="0" borderId="2" xfId="0" applyFont="1" applyFill="1" applyBorder="1" applyAlignment="1" applyProtection="1">
      <alignment horizontal="center"/>
      <protection locked="0"/>
    </xf>
    <xf numFmtId="0" fontId="61" fillId="49" borderId="38" xfId="87" applyFont="1" applyFill="1" applyBorder="1" applyAlignment="1">
      <alignment horizontal="center" vertical="top" wrapText="1"/>
    </xf>
    <xf numFmtId="0" fontId="61" fillId="49" borderId="39" xfId="87" applyFont="1" applyFill="1" applyBorder="1" applyAlignment="1">
      <alignment horizontal="center" vertical="top" wrapText="1"/>
    </xf>
    <xf numFmtId="0" fontId="63" fillId="48" borderId="41" xfId="59" applyFont="1" applyFill="1" applyBorder="1" applyAlignment="1">
      <alignment horizontal="center" vertical="top"/>
    </xf>
    <xf numFmtId="164" fontId="63" fillId="48" borderId="41" xfId="59" applyNumberFormat="1" applyFont="1" applyFill="1" applyBorder="1" applyAlignment="1">
      <alignment horizontal="center" vertical="top"/>
    </xf>
    <xf numFmtId="164" fontId="64" fillId="48" borderId="41" xfId="59" applyNumberFormat="1" applyFont="1" applyFill="1" applyBorder="1" applyAlignment="1">
      <alignment horizontal="center" vertical="top"/>
    </xf>
    <xf numFmtId="0" fontId="63" fillId="48" borderId="44" xfId="59" applyFont="1" applyFill="1" applyBorder="1" applyAlignment="1">
      <alignment horizontal="center" vertical="top"/>
    </xf>
    <xf numFmtId="0" fontId="63" fillId="48" borderId="41" xfId="59" applyFont="1" applyFill="1" applyBorder="1" applyAlignment="1">
      <alignment horizontal="center" vertical="top" wrapText="1"/>
    </xf>
    <xf numFmtId="164" fontId="63" fillId="48" borderId="45" xfId="59" applyNumberFormat="1" applyFont="1" applyFill="1" applyBorder="1" applyAlignment="1">
      <alignment horizontal="center" vertical="top"/>
    </xf>
    <xf numFmtId="164" fontId="63" fillId="48" borderId="46" xfId="59" applyNumberFormat="1" applyFont="1" applyFill="1" applyBorder="1" applyAlignment="1">
      <alignment horizontal="center" vertical="top"/>
    </xf>
    <xf numFmtId="0" fontId="63" fillId="48" borderId="47" xfId="59" applyFont="1" applyFill="1" applyBorder="1" applyAlignment="1">
      <alignment horizontal="center" vertical="top"/>
    </xf>
    <xf numFmtId="0" fontId="63" fillId="48" borderId="48" xfId="59" applyFont="1" applyFill="1" applyBorder="1" applyAlignment="1">
      <alignment horizontal="center" vertical="top" wrapText="1"/>
    </xf>
    <xf numFmtId="0" fontId="63" fillId="48" borderId="48" xfId="59" applyFont="1" applyFill="1" applyBorder="1" applyAlignment="1">
      <alignment horizontal="center" vertical="top"/>
    </xf>
    <xf numFmtId="164" fontId="63" fillId="48" borderId="48" xfId="59" applyNumberFormat="1" applyFont="1" applyFill="1" applyBorder="1" applyAlignment="1">
      <alignment horizontal="center" vertical="top"/>
    </xf>
    <xf numFmtId="164" fontId="64" fillId="48" borderId="48" xfId="59" applyNumberFormat="1" applyFont="1" applyFill="1" applyBorder="1" applyAlignment="1">
      <alignment horizontal="center" vertical="top"/>
    </xf>
    <xf numFmtId="164" fontId="63" fillId="48" borderId="49" xfId="59" applyNumberFormat="1" applyFont="1" applyFill="1" applyBorder="1" applyAlignment="1">
      <alignment horizontal="center" vertical="top"/>
    </xf>
    <xf numFmtId="0" fontId="63" fillId="48" borderId="50" xfId="59" applyFont="1" applyFill="1" applyBorder="1" applyAlignment="1">
      <alignment horizontal="center" vertical="top"/>
    </xf>
    <xf numFmtId="0" fontId="63" fillId="48" borderId="51" xfId="59" applyFont="1" applyFill="1" applyBorder="1" applyAlignment="1">
      <alignment horizontal="center" vertical="top" wrapText="1"/>
    </xf>
    <xf numFmtId="0" fontId="63" fillId="48" borderId="51" xfId="59" applyFont="1" applyFill="1" applyBorder="1" applyAlignment="1">
      <alignment horizontal="center" vertical="top"/>
    </xf>
    <xf numFmtId="164" fontId="63" fillId="48" borderId="51" xfId="59" applyNumberFormat="1" applyFont="1" applyFill="1" applyBorder="1" applyAlignment="1">
      <alignment horizontal="center" vertical="top"/>
    </xf>
    <xf numFmtId="164" fontId="64" fillId="48" borderId="51" xfId="59" applyNumberFormat="1" applyFont="1" applyFill="1" applyBorder="1" applyAlignment="1">
      <alignment horizontal="center" vertical="top"/>
    </xf>
    <xf numFmtId="164" fontId="63" fillId="48" borderId="52" xfId="59" applyNumberFormat="1" applyFont="1" applyFill="1" applyBorder="1" applyAlignment="1">
      <alignment horizontal="center" vertical="top"/>
    </xf>
    <xf numFmtId="0" fontId="65" fillId="51" borderId="42" xfId="88" applyFont="1" applyFill="1" applyBorder="1" applyAlignment="1">
      <alignment horizontal="center" vertical="top"/>
    </xf>
    <xf numFmtId="0" fontId="65" fillId="51" borderId="23" xfId="88" applyFont="1" applyFill="1" applyAlignment="1">
      <alignment horizontal="center" vertical="top" wrapText="1"/>
    </xf>
    <xf numFmtId="0" fontId="65" fillId="51" borderId="23" xfId="88" applyFont="1" applyFill="1" applyAlignment="1">
      <alignment horizontal="center" vertical="top"/>
    </xf>
    <xf numFmtId="164" fontId="65" fillId="51" borderId="23" xfId="88" applyNumberFormat="1" applyFont="1" applyFill="1" applyAlignment="1">
      <alignment horizontal="center" vertical="top"/>
    </xf>
    <xf numFmtId="164" fontId="66" fillId="51" borderId="23" xfId="88" applyNumberFormat="1" applyFont="1" applyFill="1" applyAlignment="1">
      <alignment horizontal="center" vertical="top"/>
    </xf>
    <xf numFmtId="164" fontId="65" fillId="51" borderId="23" xfId="88" applyNumberFormat="1" applyFont="1" applyFill="1" applyAlignment="1">
      <alignment horizontal="right" vertical="top"/>
    </xf>
    <xf numFmtId="164" fontId="65" fillId="51" borderId="43" xfId="88" applyNumberFormat="1" applyFont="1" applyFill="1" applyBorder="1" applyAlignment="1">
      <alignment horizontal="center" vertical="top"/>
    </xf>
    <xf numFmtId="0" fontId="61" fillId="52" borderId="42" xfId="88" applyFont="1" applyFill="1" applyBorder="1" applyAlignment="1">
      <alignment horizontal="center" vertical="top"/>
    </xf>
    <xf numFmtId="0" fontId="61" fillId="52" borderId="23" xfId="88" applyFont="1" applyFill="1" applyAlignment="1">
      <alignment horizontal="center" vertical="top" wrapText="1"/>
    </xf>
    <xf numFmtId="0" fontId="61" fillId="52" borderId="23" xfId="88" applyFont="1" applyFill="1" applyAlignment="1">
      <alignment horizontal="center" vertical="top"/>
    </xf>
    <xf numFmtId="164" fontId="61" fillId="52" borderId="23" xfId="88" applyNumberFormat="1" applyFont="1" applyFill="1" applyAlignment="1">
      <alignment horizontal="center" vertical="top"/>
    </xf>
    <xf numFmtId="164" fontId="62" fillId="52" borderId="23" xfId="88" applyNumberFormat="1" applyFont="1" applyFill="1" applyAlignment="1">
      <alignment horizontal="center" vertical="top"/>
    </xf>
    <xf numFmtId="164" fontId="61" fillId="52" borderId="23" xfId="88" applyNumberFormat="1" applyFont="1" applyFill="1" applyAlignment="1">
      <alignment horizontal="right" vertical="top"/>
    </xf>
    <xf numFmtId="164" fontId="61" fillId="52" borderId="43" xfId="88" applyNumberFormat="1" applyFont="1" applyFill="1" applyBorder="1" applyAlignment="1">
      <alignment horizontal="center" vertical="top"/>
    </xf>
    <xf numFmtId="0" fontId="63" fillId="48" borderId="53" xfId="59" applyFont="1" applyFill="1" applyBorder="1" applyAlignment="1">
      <alignment horizontal="center" vertical="top"/>
    </xf>
    <xf numFmtId="0" fontId="63" fillId="48" borderId="45" xfId="59" applyFont="1" applyFill="1" applyBorder="1" applyAlignment="1">
      <alignment horizontal="center" vertical="top" wrapText="1"/>
    </xf>
    <xf numFmtId="0" fontId="63" fillId="48" borderId="45" xfId="59" applyFont="1" applyFill="1" applyBorder="1" applyAlignment="1">
      <alignment horizontal="center" vertical="top"/>
    </xf>
    <xf numFmtId="164" fontId="63" fillId="48" borderId="54" xfId="59" applyNumberFormat="1" applyFont="1" applyFill="1" applyBorder="1" applyAlignment="1">
      <alignment horizontal="center" vertical="top"/>
    </xf>
    <xf numFmtId="164" fontId="64" fillId="48" borderId="54" xfId="59" applyNumberFormat="1" applyFont="1" applyFill="1" applyBorder="1" applyAlignment="1">
      <alignment horizontal="center" vertical="top"/>
    </xf>
    <xf numFmtId="0" fontId="63" fillId="48" borderId="54" xfId="59" applyFont="1" applyFill="1" applyBorder="1" applyAlignment="1">
      <alignment horizontal="center" vertical="top"/>
    </xf>
    <xf numFmtId="164" fontId="63" fillId="48" borderId="55" xfId="59" applyNumberFormat="1" applyFont="1" applyFill="1" applyBorder="1" applyAlignment="1">
      <alignment horizontal="center" vertical="top"/>
    </xf>
    <xf numFmtId="0" fontId="61" fillId="53" borderId="42" xfId="88" applyFont="1" applyFill="1" applyBorder="1" applyAlignment="1">
      <alignment horizontal="center" vertical="top"/>
    </xf>
    <xf numFmtId="0" fontId="61" fillId="53" borderId="23" xfId="88" applyFont="1" applyFill="1" applyAlignment="1">
      <alignment horizontal="center" vertical="top" wrapText="1"/>
    </xf>
    <xf numFmtId="0" fontId="61" fillId="53" borderId="23" xfId="88" applyFont="1" applyFill="1" applyAlignment="1">
      <alignment horizontal="center" vertical="top"/>
    </xf>
    <xf numFmtId="164" fontId="61" fillId="53" borderId="23" xfId="88" applyNumberFormat="1" applyFont="1" applyFill="1" applyAlignment="1">
      <alignment horizontal="center" vertical="top"/>
    </xf>
    <xf numFmtId="164" fontId="62" fillId="53" borderId="23" xfId="88" applyNumberFormat="1" applyFont="1" applyFill="1" applyAlignment="1">
      <alignment horizontal="center" vertical="top"/>
    </xf>
    <xf numFmtId="164" fontId="61" fillId="53" borderId="23" xfId="88" applyNumberFormat="1" applyFont="1" applyFill="1" applyAlignment="1">
      <alignment horizontal="right" vertical="top"/>
    </xf>
    <xf numFmtId="164" fontId="61" fillId="53" borderId="43" xfId="88" applyNumberFormat="1" applyFont="1" applyFill="1" applyBorder="1" applyAlignment="1">
      <alignment horizontal="center" vertical="top"/>
    </xf>
    <xf numFmtId="0" fontId="61" fillId="54" borderId="42" xfId="88" applyFont="1" applyFill="1" applyBorder="1" applyAlignment="1">
      <alignment horizontal="center" vertical="top"/>
    </xf>
    <xf numFmtId="0" fontId="61" fillId="54" borderId="23" xfId="88" applyFont="1" applyFill="1" applyAlignment="1">
      <alignment horizontal="center" vertical="top" wrapText="1"/>
    </xf>
    <xf numFmtId="0" fontId="61" fillId="54" borderId="23" xfId="88" applyFont="1" applyFill="1" applyAlignment="1">
      <alignment horizontal="center" vertical="top"/>
    </xf>
    <xf numFmtId="165" fontId="61" fillId="54" borderId="23" xfId="88" applyNumberFormat="1" applyFont="1" applyFill="1" applyAlignment="1">
      <alignment horizontal="center" vertical="top"/>
    </xf>
    <xf numFmtId="164" fontId="61" fillId="54" borderId="23" xfId="88" applyNumberFormat="1" applyFont="1" applyFill="1" applyAlignment="1">
      <alignment horizontal="center" vertical="top"/>
    </xf>
    <xf numFmtId="164" fontId="61" fillId="54" borderId="23" xfId="88" applyNumberFormat="1" applyFont="1" applyFill="1" applyAlignment="1">
      <alignment horizontal="right" vertical="top"/>
    </xf>
    <xf numFmtId="164" fontId="61" fillId="54" borderId="43" xfId="88" applyNumberFormat="1" applyFont="1" applyFill="1" applyBorder="1" applyAlignment="1">
      <alignment horizontal="center" vertical="top"/>
    </xf>
    <xf numFmtId="164" fontId="64" fillId="48" borderId="56" xfId="59" applyNumberFormat="1" applyFont="1" applyFill="1" applyBorder="1" applyAlignment="1">
      <alignment horizontal="center" vertical="top"/>
    </xf>
    <xf numFmtId="164" fontId="64" fillId="48" borderId="57" xfId="59" applyNumberFormat="1" applyFont="1" applyFill="1" applyBorder="1" applyAlignment="1">
      <alignment horizontal="center" vertical="top"/>
    </xf>
    <xf numFmtId="164" fontId="61" fillId="52" borderId="58" xfId="88" applyNumberFormat="1" applyFont="1" applyFill="1" applyBorder="1" applyAlignment="1">
      <alignment horizontal="center" vertical="top"/>
    </xf>
    <xf numFmtId="164" fontId="63" fillId="48" borderId="59" xfId="59" applyNumberFormat="1" applyFont="1" applyFill="1" applyBorder="1" applyAlignment="1">
      <alignment horizontal="center" vertical="top"/>
    </xf>
    <xf numFmtId="0" fontId="65" fillId="50" borderId="60" xfId="88" applyFont="1" applyFill="1" applyBorder="1" applyAlignment="1">
      <alignment horizontal="center" vertical="top"/>
    </xf>
    <xf numFmtId="0" fontId="65" fillId="50" borderId="61" xfId="88" applyFont="1" applyFill="1" applyBorder="1" applyAlignment="1">
      <alignment horizontal="center" vertical="top" wrapText="1"/>
    </xf>
    <xf numFmtId="0" fontId="65" fillId="50" borderId="61" xfId="88" applyFont="1" applyFill="1" applyBorder="1" applyAlignment="1">
      <alignment horizontal="center" vertical="top"/>
    </xf>
    <xf numFmtId="164" fontId="65" fillId="50" borderId="61" xfId="88" applyNumberFormat="1" applyFont="1" applyFill="1" applyBorder="1" applyAlignment="1">
      <alignment horizontal="center" vertical="top"/>
    </xf>
    <xf numFmtId="164" fontId="66" fillId="50" borderId="61" xfId="88" applyNumberFormat="1" applyFont="1" applyFill="1" applyBorder="1" applyAlignment="1">
      <alignment horizontal="center" vertical="top"/>
    </xf>
    <xf numFmtId="164" fontId="65" fillId="50" borderId="61" xfId="88" applyNumberFormat="1" applyFont="1" applyFill="1" applyBorder="1" applyAlignment="1">
      <alignment horizontal="right" vertical="top"/>
    </xf>
    <xf numFmtId="164" fontId="65" fillId="50" borderId="62" xfId="88" applyNumberFormat="1" applyFont="1" applyFill="1" applyBorder="1" applyAlignment="1">
      <alignment horizontal="center" vertical="top"/>
    </xf>
    <xf numFmtId="0" fontId="61" fillId="49" borderId="36" xfId="87" applyFont="1" applyFill="1" applyBorder="1" applyAlignment="1">
      <alignment horizontal="center" vertical="top" wrapText="1"/>
    </xf>
    <xf numFmtId="0" fontId="61" fillId="49" borderId="37" xfId="87" applyFont="1" applyFill="1" applyBorder="1" applyAlignment="1">
      <alignment horizontal="center" vertical="top" wrapText="1"/>
    </xf>
    <xf numFmtId="165" fontId="61" fillId="49" borderId="37" xfId="87" applyNumberFormat="1" applyFont="1" applyFill="1" applyBorder="1" applyAlignment="1">
      <alignment horizontal="center" vertical="top" wrapText="1"/>
    </xf>
    <xf numFmtId="165" fontId="62" fillId="49" borderId="37" xfId="87" applyNumberFormat="1" applyFont="1" applyFill="1" applyBorder="1" applyAlignment="1">
      <alignment horizontal="center" vertical="top" wrapText="1"/>
    </xf>
    <xf numFmtId="0" fontId="61" fillId="49" borderId="63" xfId="87" applyFont="1" applyFill="1" applyBorder="1" applyAlignment="1">
      <alignment horizontal="center" vertical="top" wrapText="1"/>
    </xf>
    <xf numFmtId="164" fontId="64" fillId="0" borderId="48" xfId="59" applyNumberFormat="1" applyFont="1" applyFill="1" applyBorder="1" applyAlignment="1">
      <alignment horizontal="center" vertical="top"/>
    </xf>
    <xf numFmtId="0" fontId="61" fillId="56" borderId="38" xfId="87" applyFont="1" applyFill="1" applyBorder="1" applyAlignment="1">
      <alignment horizontal="center" vertical="top" wrapText="1"/>
    </xf>
    <xf numFmtId="0" fontId="61" fillId="56" borderId="39" xfId="87" applyFont="1" applyFill="1" applyBorder="1" applyAlignment="1">
      <alignment horizontal="center" vertical="top" wrapText="1"/>
    </xf>
    <xf numFmtId="0" fontId="61" fillId="56" borderId="36" xfId="87" applyFont="1" applyFill="1" applyBorder="1" applyAlignment="1">
      <alignment horizontal="center" vertical="top" wrapText="1"/>
    </xf>
    <xf numFmtId="0" fontId="61" fillId="56" borderId="37" xfId="87" applyFont="1" applyFill="1" applyBorder="1" applyAlignment="1">
      <alignment horizontal="center" vertical="top" wrapText="1"/>
    </xf>
    <xf numFmtId="165" fontId="61" fillId="56" borderId="37" xfId="87" applyNumberFormat="1" applyFont="1" applyFill="1" applyBorder="1" applyAlignment="1">
      <alignment horizontal="center" vertical="top" wrapText="1"/>
    </xf>
    <xf numFmtId="165" fontId="62" fillId="56" borderId="37" xfId="87" applyNumberFormat="1" applyFont="1" applyFill="1" applyBorder="1" applyAlignment="1">
      <alignment horizontal="center" vertical="top" wrapText="1"/>
    </xf>
    <xf numFmtId="0" fontId="61" fillId="56" borderId="63" xfId="87" applyFont="1" applyFill="1" applyBorder="1" applyAlignment="1">
      <alignment horizontal="center" vertical="top" wrapText="1"/>
    </xf>
    <xf numFmtId="0" fontId="65" fillId="55" borderId="60" xfId="88" applyFont="1" applyFill="1" applyBorder="1" applyAlignment="1">
      <alignment horizontal="center" vertical="top"/>
    </xf>
    <xf numFmtId="0" fontId="65" fillId="55" borderId="61" xfId="88" applyFont="1" applyFill="1" applyBorder="1" applyAlignment="1">
      <alignment horizontal="center" vertical="top" wrapText="1"/>
    </xf>
    <xf numFmtId="0" fontId="65" fillId="55" borderId="61" xfId="88" applyFont="1" applyFill="1" applyBorder="1" applyAlignment="1">
      <alignment horizontal="center" vertical="top"/>
    </xf>
    <xf numFmtId="164" fontId="65" fillId="55" borderId="61" xfId="88" applyNumberFormat="1" applyFont="1" applyFill="1" applyBorder="1" applyAlignment="1">
      <alignment horizontal="center" vertical="top"/>
    </xf>
    <xf numFmtId="164" fontId="66" fillId="55" borderId="61" xfId="88" applyNumberFormat="1" applyFont="1" applyFill="1" applyBorder="1" applyAlignment="1">
      <alignment horizontal="center" vertical="top"/>
    </xf>
    <xf numFmtId="164" fontId="65" fillId="55" borderId="61" xfId="88" applyNumberFormat="1" applyFont="1" applyFill="1" applyBorder="1" applyAlignment="1">
      <alignment horizontal="right" vertical="top"/>
    </xf>
    <xf numFmtId="164" fontId="65" fillId="55" borderId="62" xfId="88" applyNumberFormat="1" applyFont="1" applyFill="1" applyBorder="1" applyAlignment="1">
      <alignment horizontal="center" vertical="top"/>
    </xf>
    <xf numFmtId="0" fontId="65" fillId="57" borderId="42" xfId="88" applyFont="1" applyFill="1" applyBorder="1" applyAlignment="1">
      <alignment horizontal="center" vertical="top"/>
    </xf>
    <xf numFmtId="0" fontId="65" fillId="57" borderId="23" xfId="88" applyFont="1" applyFill="1" applyAlignment="1">
      <alignment horizontal="center" vertical="top" wrapText="1"/>
    </xf>
    <xf numFmtId="0" fontId="65" fillId="57" borderId="23" xfId="88" applyFont="1" applyFill="1" applyAlignment="1">
      <alignment horizontal="center" vertical="top"/>
    </xf>
    <xf numFmtId="164" fontId="65" fillId="57" borderId="23" xfId="88" applyNumberFormat="1" applyFont="1" applyFill="1" applyAlignment="1">
      <alignment horizontal="center" vertical="top"/>
    </xf>
    <xf numFmtId="164" fontId="66" fillId="57" borderId="23" xfId="88" applyNumberFormat="1" applyFont="1" applyFill="1" applyAlignment="1">
      <alignment horizontal="center" vertical="top"/>
    </xf>
    <xf numFmtId="164" fontId="65" fillId="57" borderId="23" xfId="88" applyNumberFormat="1" applyFont="1" applyFill="1" applyAlignment="1">
      <alignment horizontal="right" vertical="top"/>
    </xf>
    <xf numFmtId="164" fontId="65" fillId="57" borderId="43" xfId="88" applyNumberFormat="1" applyFont="1" applyFill="1" applyBorder="1" applyAlignment="1">
      <alignment horizontal="center" vertical="top"/>
    </xf>
    <xf numFmtId="0" fontId="61" fillId="58" borderId="42" xfId="88" applyFont="1" applyFill="1" applyBorder="1" applyAlignment="1">
      <alignment horizontal="center" vertical="top"/>
    </xf>
    <xf numFmtId="0" fontId="61" fillId="58" borderId="23" xfId="88" applyFont="1" applyFill="1" applyAlignment="1">
      <alignment horizontal="center" vertical="top" wrapText="1"/>
    </xf>
    <xf numFmtId="0" fontId="61" fillId="58" borderId="23" xfId="88" applyFont="1" applyFill="1" applyAlignment="1">
      <alignment horizontal="center" vertical="top"/>
    </xf>
    <xf numFmtId="164" fontId="61" fillId="58" borderId="23" xfId="88" applyNumberFormat="1" applyFont="1" applyFill="1" applyAlignment="1">
      <alignment horizontal="center" vertical="top"/>
    </xf>
    <xf numFmtId="164" fontId="62" fillId="58" borderId="23" xfId="88" applyNumberFormat="1" applyFont="1" applyFill="1" applyAlignment="1">
      <alignment horizontal="center" vertical="top"/>
    </xf>
    <xf numFmtId="164" fontId="61" fillId="58" borderId="58" xfId="88" applyNumberFormat="1" applyFont="1" applyFill="1" applyBorder="1" applyAlignment="1">
      <alignment horizontal="center" vertical="top"/>
    </xf>
    <xf numFmtId="164" fontId="61" fillId="58" borderId="23" xfId="88" applyNumberFormat="1" applyFont="1" applyFill="1" applyAlignment="1">
      <alignment horizontal="right" vertical="top"/>
    </xf>
    <xf numFmtId="164" fontId="61" fillId="58" borderId="43" xfId="88" applyNumberFormat="1" applyFont="1" applyFill="1" applyBorder="1" applyAlignment="1">
      <alignment horizontal="center" vertical="top"/>
    </xf>
    <xf numFmtId="0" fontId="61" fillId="60" borderId="42" xfId="88" applyFont="1" applyFill="1" applyBorder="1" applyAlignment="1">
      <alignment horizontal="center" vertical="top"/>
    </xf>
    <xf numFmtId="0" fontId="61" fillId="60" borderId="23" xfId="88" applyFont="1" applyFill="1" applyAlignment="1">
      <alignment horizontal="center" vertical="top" wrapText="1"/>
    </xf>
    <xf numFmtId="0" fontId="61" fillId="60" borderId="23" xfId="88" applyFont="1" applyFill="1" applyAlignment="1">
      <alignment horizontal="center" vertical="top"/>
    </xf>
    <xf numFmtId="164" fontId="61" fillId="60" borderId="23" xfId="88" applyNumberFormat="1" applyFont="1" applyFill="1" applyAlignment="1">
      <alignment horizontal="center" vertical="top"/>
    </xf>
    <xf numFmtId="164" fontId="62" fillId="60" borderId="23" xfId="88" applyNumberFormat="1" applyFont="1" applyFill="1" applyAlignment="1">
      <alignment horizontal="center" vertical="top"/>
    </xf>
    <xf numFmtId="164" fontId="61" fillId="60" borderId="23" xfId="88" applyNumberFormat="1" applyFont="1" applyFill="1" applyAlignment="1">
      <alignment horizontal="right" vertical="top"/>
    </xf>
    <xf numFmtId="164" fontId="61" fillId="60" borderId="43" xfId="88" applyNumberFormat="1" applyFont="1" applyFill="1" applyBorder="1" applyAlignment="1">
      <alignment horizontal="center" vertical="top"/>
    </xf>
    <xf numFmtId="0" fontId="61" fillId="61" borderId="42" xfId="88" applyFont="1" applyFill="1" applyBorder="1" applyAlignment="1">
      <alignment horizontal="center" vertical="top"/>
    </xf>
    <xf numFmtId="0" fontId="61" fillId="61" borderId="23" xfId="88" applyFont="1" applyFill="1" applyAlignment="1">
      <alignment horizontal="center" vertical="top" wrapText="1"/>
    </xf>
    <xf numFmtId="0" fontId="61" fillId="61" borderId="23" xfId="88" applyFont="1" applyFill="1" applyAlignment="1">
      <alignment horizontal="center" vertical="top"/>
    </xf>
    <xf numFmtId="165" fontId="61" fillId="61" borderId="23" xfId="88" applyNumberFormat="1" applyFont="1" applyFill="1" applyAlignment="1">
      <alignment horizontal="center" vertical="top"/>
    </xf>
    <xf numFmtId="164" fontId="61" fillId="61" borderId="23" xfId="88" applyNumberFormat="1" applyFont="1" applyFill="1" applyAlignment="1">
      <alignment horizontal="center" vertical="top"/>
    </xf>
    <xf numFmtId="164" fontId="61" fillId="61" borderId="23" xfId="88" applyNumberFormat="1" applyFont="1" applyFill="1" applyAlignment="1">
      <alignment horizontal="right" vertical="top"/>
    </xf>
    <xf numFmtId="164" fontId="61" fillId="61" borderId="43" xfId="88" applyNumberFormat="1" applyFont="1" applyFill="1" applyBorder="1" applyAlignment="1">
      <alignment horizontal="center" vertical="top"/>
    </xf>
    <xf numFmtId="0" fontId="5" fillId="0" borderId="0" xfId="11" applyAlignment="1" applyProtection="1"/>
    <xf numFmtId="0" fontId="11" fillId="6" borderId="0" xfId="0" applyFont="1" applyFill="1"/>
    <xf numFmtId="2" fontId="24" fillId="0" borderId="0" xfId="0" applyNumberFormat="1" applyFont="1" applyFill="1" applyAlignment="1" applyProtection="1">
      <alignment horizontal="left"/>
      <protection locked="0"/>
    </xf>
    <xf numFmtId="164" fontId="0" fillId="0" borderId="0" xfId="0" applyNumberFormat="1" applyProtection="1">
      <protection locked="0"/>
    </xf>
    <xf numFmtId="0" fontId="0" fillId="59" borderId="0" xfId="0" applyFill="1"/>
    <xf numFmtId="0" fontId="0" fillId="0" borderId="34" xfId="0" applyFill="1" applyBorder="1"/>
    <xf numFmtId="0" fontId="0" fillId="0" borderId="33" xfId="0" applyFill="1" applyBorder="1"/>
    <xf numFmtId="0" fontId="0" fillId="0" borderId="67" xfId="0" applyFill="1" applyBorder="1"/>
    <xf numFmtId="0" fontId="0" fillId="0" borderId="69" xfId="0" applyFill="1" applyBorder="1"/>
    <xf numFmtId="0" fontId="69" fillId="0" borderId="5" xfId="0" applyFont="1" applyFill="1" applyBorder="1"/>
    <xf numFmtId="0" fontId="69" fillId="0" borderId="6" xfId="0" applyFont="1" applyFill="1" applyBorder="1"/>
    <xf numFmtId="0" fontId="70" fillId="0" borderId="6" xfId="0" applyFont="1" applyFill="1" applyBorder="1" applyAlignment="1">
      <alignment horizontal="center"/>
    </xf>
    <xf numFmtId="0" fontId="70" fillId="0" borderId="7" xfId="0" applyFont="1" applyFill="1" applyBorder="1" applyAlignment="1">
      <alignment horizontal="center"/>
    </xf>
    <xf numFmtId="0" fontId="0" fillId="0" borderId="70" xfId="0" applyFill="1" applyBorder="1"/>
    <xf numFmtId="0" fontId="46" fillId="0" borderId="71" xfId="0" applyFont="1" applyFill="1" applyBorder="1"/>
    <xf numFmtId="0" fontId="0" fillId="0" borderId="72" xfId="0" applyFill="1" applyBorder="1"/>
    <xf numFmtId="44" fontId="0" fillId="47" borderId="72" xfId="86" applyFont="1" applyFill="1" applyBorder="1" applyProtection="1">
      <protection locked="0"/>
    </xf>
    <xf numFmtId="44" fontId="0" fillId="47" borderId="73" xfId="86" applyFont="1" applyFill="1" applyBorder="1" applyProtection="1">
      <protection locked="0"/>
    </xf>
    <xf numFmtId="0" fontId="46" fillId="0" borderId="74" xfId="0" applyFont="1" applyFill="1" applyBorder="1"/>
    <xf numFmtId="0" fontId="0" fillId="0" borderId="75" xfId="0" applyFill="1" applyBorder="1"/>
    <xf numFmtId="44" fontId="0" fillId="47" borderId="75" xfId="86" applyFont="1" applyFill="1" applyBorder="1" applyProtection="1">
      <protection locked="0"/>
    </xf>
    <xf numFmtId="44" fontId="0" fillId="47" borderId="76" xfId="86" applyFont="1" applyFill="1" applyBorder="1" applyProtection="1">
      <protection locked="0"/>
    </xf>
    <xf numFmtId="0" fontId="0" fillId="0" borderId="77" xfId="0" applyFill="1" applyBorder="1"/>
    <xf numFmtId="0" fontId="46" fillId="0" borderId="5" xfId="0" applyFont="1" applyFill="1" applyBorder="1"/>
    <xf numFmtId="0" fontId="0" fillId="0" borderId="13" xfId="0" applyFill="1" applyBorder="1"/>
    <xf numFmtId="44" fontId="46" fillId="0" borderId="6" xfId="86" applyFont="1" applyFill="1" applyBorder="1"/>
    <xf numFmtId="44" fontId="46" fillId="0" borderId="7" xfId="86" applyFont="1" applyFill="1" applyBorder="1"/>
    <xf numFmtId="0" fontId="0" fillId="0" borderId="0" xfId="0" applyFill="1" applyBorder="1"/>
    <xf numFmtId="44" fontId="0" fillId="0" borderId="0" xfId="86" applyFont="1" applyFill="1" applyBorder="1"/>
    <xf numFmtId="0" fontId="69" fillId="0" borderId="7" xfId="0" applyFont="1" applyFill="1" applyBorder="1"/>
    <xf numFmtId="0" fontId="0" fillId="0" borderId="11" xfId="0" applyFill="1" applyBorder="1"/>
    <xf numFmtId="0" fontId="0" fillId="0" borderId="4" xfId="0" applyFill="1" applyBorder="1"/>
    <xf numFmtId="0" fontId="46" fillId="0" borderId="11" xfId="0" applyFont="1" applyFill="1" applyBorder="1"/>
    <xf numFmtId="0" fontId="46" fillId="0" borderId="11" xfId="0" applyFont="1" applyFill="1" applyBorder="1" applyAlignment="1">
      <alignment wrapText="1"/>
    </xf>
    <xf numFmtId="10" fontId="0" fillId="0" borderId="0" xfId="14" applyNumberFormat="1" applyFont="1" applyFill="1" applyBorder="1"/>
    <xf numFmtId="44" fontId="0" fillId="0" borderId="4" xfId="0" applyNumberFormat="1" applyFill="1" applyBorder="1"/>
    <xf numFmtId="0" fontId="46" fillId="0" borderId="12" xfId="0" applyFont="1" applyFill="1" applyBorder="1"/>
    <xf numFmtId="44" fontId="0" fillId="0" borderId="13" xfId="86" applyFont="1" applyFill="1" applyBorder="1"/>
    <xf numFmtId="44" fontId="0" fillId="0" borderId="14" xfId="0" applyNumberFormat="1" applyFill="1" applyBorder="1"/>
    <xf numFmtId="0" fontId="69" fillId="0" borderId="78" xfId="0" applyFont="1" applyFill="1" applyBorder="1" applyAlignment="1">
      <alignment horizontal="right" vertical="center"/>
    </xf>
    <xf numFmtId="0" fontId="71" fillId="0" borderId="25" xfId="0" applyFont="1" applyFill="1" applyBorder="1" applyAlignment="1">
      <alignment vertical="center"/>
    </xf>
    <xf numFmtId="0" fontId="0" fillId="0" borderId="32" xfId="0" applyFill="1" applyBorder="1"/>
    <xf numFmtId="0" fontId="0" fillId="0" borderId="31" xfId="0" applyFill="1" applyBorder="1"/>
    <xf numFmtId="0" fontId="0" fillId="0" borderId="68" xfId="0" applyFill="1" applyBorder="1"/>
    <xf numFmtId="0" fontId="0" fillId="40" borderId="0" xfId="0" applyFill="1" applyAlignment="1">
      <alignment horizontal="center" vertical="center"/>
    </xf>
    <xf numFmtId="0" fontId="0" fillId="40" borderId="0" xfId="0" applyFill="1" applyBorder="1" applyAlignment="1">
      <alignment horizontal="center" vertical="center"/>
    </xf>
    <xf numFmtId="0" fontId="77" fillId="48" borderId="80" xfId="0" applyFont="1" applyFill="1" applyBorder="1" applyAlignment="1">
      <alignment horizontal="right" vertical="center" wrapText="1" indent="1"/>
    </xf>
    <xf numFmtId="0" fontId="79" fillId="40" borderId="0" xfId="0" applyFont="1" applyFill="1" applyBorder="1" applyAlignment="1">
      <alignment horizontal="center" vertical="center"/>
    </xf>
    <xf numFmtId="0" fontId="80" fillId="40" borderId="0" xfId="0" applyFont="1" applyFill="1" applyBorder="1" applyAlignment="1">
      <alignment horizontal="center" vertical="center"/>
    </xf>
    <xf numFmtId="0" fontId="77" fillId="40" borderId="0" xfId="0" applyFont="1" applyFill="1" applyBorder="1" applyAlignment="1">
      <alignment horizontal="right" vertical="center" wrapText="1" indent="1"/>
    </xf>
    <xf numFmtId="0" fontId="78" fillId="40" borderId="0" xfId="0" applyFont="1" applyFill="1" applyBorder="1" applyAlignment="1" applyProtection="1">
      <alignment horizontal="center" vertical="center"/>
      <protection locked="0"/>
    </xf>
    <xf numFmtId="0" fontId="82" fillId="40" borderId="0" xfId="0" applyFont="1" applyFill="1"/>
    <xf numFmtId="0" fontId="83" fillId="40" borderId="0" xfId="0" applyFont="1" applyFill="1"/>
    <xf numFmtId="0" fontId="83" fillId="40" borderId="0" xfId="0" applyFont="1" applyFill="1" applyBorder="1"/>
    <xf numFmtId="0" fontId="80" fillId="40" borderId="0" xfId="0" applyFont="1" applyFill="1" applyBorder="1"/>
    <xf numFmtId="9" fontId="83" fillId="42" borderId="81" xfId="0" applyNumberFormat="1" applyFont="1" applyFill="1" applyBorder="1" applyAlignment="1">
      <alignment horizontal="center" vertical="center" wrapText="1"/>
    </xf>
    <xf numFmtId="0" fontId="83" fillId="42" borderId="82" xfId="0" applyFont="1" applyFill="1" applyBorder="1" applyAlignment="1">
      <alignment horizontal="center" vertical="center"/>
    </xf>
    <xf numFmtId="0" fontId="84" fillId="42" borderId="82" xfId="0" applyFont="1" applyFill="1" applyBorder="1" applyAlignment="1">
      <alignment horizontal="center" vertical="center" wrapText="1"/>
    </xf>
    <xf numFmtId="0" fontId="85" fillId="42" borderId="83" xfId="0" applyFont="1" applyFill="1" applyBorder="1" applyAlignment="1">
      <alignment horizontal="center" vertical="center" wrapText="1"/>
    </xf>
    <xf numFmtId="0" fontId="83" fillId="40" borderId="0" xfId="0" applyFont="1" applyFill="1" applyBorder="1" applyAlignment="1">
      <alignment horizontal="center" vertical="center"/>
    </xf>
    <xf numFmtId="0" fontId="86" fillId="40" borderId="0" xfId="0" applyFont="1" applyFill="1" applyBorder="1" applyAlignment="1">
      <alignment horizontal="center" vertical="center" wrapText="1"/>
    </xf>
    <xf numFmtId="0" fontId="84" fillId="42" borderId="84" xfId="0" applyFont="1" applyFill="1" applyBorder="1" applyAlignment="1">
      <alignment horizontal="center" vertical="center" wrapText="1"/>
    </xf>
    <xf numFmtId="0" fontId="83" fillId="42" borderId="85" xfId="0" applyFont="1" applyFill="1" applyBorder="1" applyAlignment="1">
      <alignment horizontal="center" vertical="center"/>
    </xf>
    <xf numFmtId="0" fontId="85" fillId="42" borderId="85" xfId="0" applyFont="1" applyFill="1" applyBorder="1" applyAlignment="1">
      <alignment horizontal="center" vertical="center" wrapText="1"/>
    </xf>
    <xf numFmtId="0" fontId="87" fillId="42" borderId="86" xfId="0" applyFont="1" applyFill="1" applyBorder="1" applyAlignment="1">
      <alignment horizontal="center" vertical="center" wrapText="1"/>
    </xf>
    <xf numFmtId="0" fontId="88" fillId="40" borderId="0" xfId="0" applyFont="1" applyFill="1" applyBorder="1" applyAlignment="1">
      <alignment horizontal="center" vertical="center" wrapText="1"/>
    </xf>
    <xf numFmtId="0" fontId="83" fillId="40" borderId="0" xfId="0" applyFont="1" applyFill="1" applyAlignment="1">
      <alignment horizontal="center" vertical="center"/>
    </xf>
    <xf numFmtId="9" fontId="83" fillId="42" borderId="81" xfId="0" applyNumberFormat="1" applyFont="1" applyFill="1" applyBorder="1" applyAlignment="1">
      <alignment horizontal="center" vertical="center"/>
    </xf>
    <xf numFmtId="0" fontId="83" fillId="42" borderId="87" xfId="0" applyFont="1" applyFill="1" applyBorder="1" applyAlignment="1">
      <alignment horizontal="center" vertical="center"/>
    </xf>
    <xf numFmtId="9" fontId="84" fillId="42" borderId="82" xfId="14" applyFont="1" applyFill="1" applyBorder="1" applyAlignment="1" applyProtection="1">
      <alignment horizontal="center" vertical="center"/>
    </xf>
    <xf numFmtId="0" fontId="84" fillId="42" borderId="88" xfId="0" applyFont="1" applyFill="1" applyBorder="1" applyAlignment="1" applyProtection="1">
      <alignment horizontal="center" vertical="center"/>
    </xf>
    <xf numFmtId="9" fontId="85" fillId="42" borderId="83" xfId="14" applyFont="1" applyFill="1" applyBorder="1" applyAlignment="1">
      <alignment horizontal="center" vertical="center"/>
    </xf>
    <xf numFmtId="0" fontId="89" fillId="40" borderId="0" xfId="0" applyFont="1" applyFill="1" applyBorder="1" applyAlignment="1">
      <alignment horizontal="center" vertical="center"/>
    </xf>
    <xf numFmtId="9" fontId="84" fillId="42" borderId="84" xfId="14" applyFont="1" applyFill="1" applyBorder="1" applyAlignment="1">
      <alignment horizontal="center" vertical="center"/>
    </xf>
    <xf numFmtId="9" fontId="85" fillId="42" borderId="85" xfId="14" applyFont="1" applyFill="1" applyBorder="1" applyAlignment="1">
      <alignment horizontal="center" vertical="center"/>
    </xf>
    <xf numFmtId="0" fontId="85" fillId="42" borderId="90" xfId="0" applyFont="1" applyFill="1" applyBorder="1" applyAlignment="1">
      <alignment horizontal="center" vertical="center"/>
    </xf>
    <xf numFmtId="170" fontId="87" fillId="42" borderId="86" xfId="0" applyNumberFormat="1" applyFont="1" applyFill="1" applyBorder="1" applyAlignment="1">
      <alignment horizontal="center" vertical="center"/>
    </xf>
    <xf numFmtId="170" fontId="93" fillId="40" borderId="0" xfId="0" applyNumberFormat="1" applyFont="1" applyFill="1" applyAlignment="1">
      <alignment horizontal="center" vertical="center"/>
    </xf>
    <xf numFmtId="0" fontId="90" fillId="42" borderId="89" xfId="0" applyFont="1" applyFill="1" applyBorder="1" applyAlignment="1">
      <alignment horizontal="center" vertical="top"/>
    </xf>
    <xf numFmtId="0" fontId="0" fillId="40" borderId="34" xfId="0" applyFill="1" applyBorder="1" applyAlignment="1">
      <alignment horizontal="center" vertical="center"/>
    </xf>
    <xf numFmtId="0" fontId="0" fillId="40" borderId="33" xfId="0" applyFill="1" applyBorder="1" applyAlignment="1">
      <alignment horizontal="center" vertical="center"/>
    </xf>
    <xf numFmtId="0" fontId="0" fillId="40" borderId="67" xfId="0" applyFill="1" applyBorder="1" applyAlignment="1">
      <alignment horizontal="center" vertical="center"/>
    </xf>
    <xf numFmtId="0" fontId="0" fillId="40" borderId="69" xfId="0" applyFill="1" applyBorder="1" applyAlignment="1">
      <alignment horizontal="center" vertical="center"/>
    </xf>
    <xf numFmtId="0" fontId="0" fillId="40" borderId="70" xfId="0" applyFill="1" applyBorder="1" applyAlignment="1">
      <alignment horizontal="center" vertical="center"/>
    </xf>
    <xf numFmtId="0" fontId="0" fillId="40" borderId="0" xfId="0" applyFill="1" applyBorder="1" applyAlignment="1">
      <alignment horizontal="left" wrapText="1" indent="1"/>
    </xf>
    <xf numFmtId="0" fontId="0" fillId="40" borderId="70" xfId="0" applyFill="1" applyBorder="1" applyAlignment="1">
      <alignment horizontal="left" wrapText="1" indent="1"/>
    </xf>
    <xf numFmtId="0" fontId="0" fillId="40" borderId="32" xfId="0" applyFill="1" applyBorder="1" applyAlignment="1">
      <alignment horizontal="center" vertical="center"/>
    </xf>
    <xf numFmtId="0" fontId="0" fillId="40" borderId="31" xfId="0" applyFill="1" applyBorder="1" applyAlignment="1">
      <alignment horizontal="center" vertical="center"/>
    </xf>
    <xf numFmtId="0" fontId="0" fillId="40" borderId="68" xfId="0" applyFill="1" applyBorder="1" applyAlignment="1">
      <alignment horizontal="center" vertical="center"/>
    </xf>
    <xf numFmtId="9" fontId="94" fillId="59" borderId="0" xfId="14" applyFont="1" applyFill="1"/>
    <xf numFmtId="9" fontId="0" fillId="0" borderId="0" xfId="14" applyFont="1" applyFill="1" applyBorder="1" applyAlignment="1">
      <alignment horizontal="right"/>
    </xf>
    <xf numFmtId="9" fontId="0" fillId="0" borderId="0" xfId="14" applyFont="1" applyFill="1" applyBorder="1" applyAlignment="1" applyProtection="1">
      <alignment horizontal="right"/>
      <protection locked="0"/>
    </xf>
    <xf numFmtId="44" fontId="0" fillId="0" borderId="0" xfId="86" applyFont="1" applyFill="1" applyBorder="1" applyProtection="1">
      <protection locked="0"/>
    </xf>
    <xf numFmtId="44" fontId="0" fillId="0" borderId="0" xfId="0" applyNumberFormat="1" applyProtection="1">
      <protection locked="0"/>
    </xf>
    <xf numFmtId="0" fontId="9" fillId="43" borderId="0" xfId="0" applyFont="1" applyFill="1" applyAlignment="1" applyProtection="1">
      <alignment horizontal="right"/>
      <protection locked="0"/>
    </xf>
    <xf numFmtId="0" fontId="0" fillId="0" borderId="0" xfId="0" applyBorder="1" applyAlignment="1">
      <alignment horizontal="right"/>
    </xf>
    <xf numFmtId="0" fontId="15" fillId="0" borderId="3" xfId="0" applyFont="1" applyFill="1" applyBorder="1" applyAlignment="1" applyProtection="1">
      <alignment horizontal="center" vertical="top" wrapText="1"/>
    </xf>
    <xf numFmtId="0" fontId="15" fillId="0" borderId="35" xfId="0" applyFont="1" applyFill="1" applyBorder="1" applyAlignment="1" applyProtection="1">
      <alignment horizontal="center" vertical="top" wrapText="1"/>
    </xf>
    <xf numFmtId="0" fontId="4" fillId="0" borderId="8" xfId="0" applyFont="1" applyFill="1" applyBorder="1" applyAlignment="1" applyProtection="1">
      <alignment vertical="top" wrapText="1"/>
    </xf>
    <xf numFmtId="167" fontId="30" fillId="8" borderId="9" xfId="0" applyNumberFormat="1" applyFont="1" applyFill="1" applyBorder="1" applyAlignment="1" applyProtection="1">
      <alignment horizontal="left"/>
      <protection locked="0"/>
    </xf>
    <xf numFmtId="0" fontId="31" fillId="8" borderId="10" xfId="0" applyFont="1" applyFill="1" applyBorder="1" applyAlignment="1" applyProtection="1">
      <alignment horizontal="left"/>
      <protection locked="0"/>
    </xf>
    <xf numFmtId="0" fontId="11"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30" fillId="8" borderId="12" xfId="0" applyFont="1" applyFill="1" applyBorder="1" applyAlignment="1" applyProtection="1">
      <alignment horizontal="left"/>
      <protection locked="0"/>
    </xf>
    <xf numFmtId="0" fontId="0" fillId="8" borderId="14" xfId="0" applyFill="1" applyBorder="1" applyAlignment="1">
      <alignment horizontal="left"/>
    </xf>
    <xf numFmtId="0" fontId="16" fillId="0" borderId="0" xfId="0" applyFont="1" applyAlignment="1" applyProtection="1">
      <protection locked="0"/>
    </xf>
    <xf numFmtId="166" fontId="4" fillId="0" borderId="0" xfId="0" applyNumberFormat="1" applyFont="1" applyFill="1" applyAlignment="1" applyProtection="1">
      <alignment horizontal="right"/>
      <protection locked="0"/>
    </xf>
    <xf numFmtId="166" fontId="4" fillId="0" borderId="4" xfId="0" applyNumberFormat="1" applyFont="1" applyFill="1" applyBorder="1" applyAlignment="1" applyProtection="1">
      <alignment horizontal="right"/>
      <protection locked="0"/>
    </xf>
    <xf numFmtId="166" fontId="4" fillId="0" borderId="0" xfId="0" applyNumberFormat="1" applyFont="1" applyFill="1" applyAlignment="1" applyProtection="1">
      <alignment horizontal="left" indent="1"/>
      <protection locked="0"/>
    </xf>
    <xf numFmtId="166" fontId="4" fillId="0" borderId="4" xfId="0" applyNumberFormat="1" applyFont="1" applyFill="1" applyBorder="1" applyAlignment="1" applyProtection="1">
      <alignment horizontal="left" indent="1"/>
      <protection locked="0"/>
    </xf>
    <xf numFmtId="0" fontId="68" fillId="6" borderId="0" xfId="11" applyFont="1" applyFill="1" applyAlignment="1" applyProtection="1">
      <alignment horizontal="left"/>
    </xf>
    <xf numFmtId="0" fontId="68" fillId="6" borderId="4" xfId="11" applyFont="1" applyFill="1" applyBorder="1" applyAlignment="1" applyProtection="1">
      <alignment horizontal="left"/>
    </xf>
    <xf numFmtId="0" fontId="18" fillId="0" borderId="0" xfId="11" applyFont="1" applyAlignment="1" applyProtection="1">
      <alignment horizontal="center" vertical="center" wrapText="1"/>
    </xf>
    <xf numFmtId="0" fontId="27" fillId="0" borderId="0" xfId="0" applyFont="1" applyFill="1" applyAlignment="1" applyProtection="1">
      <alignment horizontal="center"/>
      <protection locked="0"/>
    </xf>
    <xf numFmtId="0" fontId="15" fillId="5" borderId="0" xfId="0" applyFont="1" applyFill="1" applyAlignment="1" applyProtection="1">
      <alignment horizontal="center" vertical="center" textRotation="90" wrapText="1"/>
    </xf>
    <xf numFmtId="0" fontId="4" fillId="4" borderId="5"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left"/>
    </xf>
    <xf numFmtId="0" fontId="15" fillId="5" borderId="5" xfId="0" applyFont="1" applyFill="1" applyBorder="1" applyAlignment="1" applyProtection="1">
      <alignment horizontal="center" vertical="center"/>
    </xf>
    <xf numFmtId="0" fontId="15" fillId="5" borderId="6" xfId="0" applyFont="1" applyFill="1" applyBorder="1" applyAlignment="1" applyProtection="1">
      <alignment horizontal="center" vertical="center"/>
    </xf>
    <xf numFmtId="0" fontId="15" fillId="5" borderId="7" xfId="0" applyFont="1" applyFill="1" applyBorder="1" applyAlignment="1" applyProtection="1">
      <alignment horizontal="center" vertical="center"/>
    </xf>
    <xf numFmtId="0" fontId="4" fillId="0" borderId="0" xfId="0" applyFont="1" applyAlignment="1" applyProtection="1">
      <alignment textRotation="90" wrapText="1"/>
    </xf>
    <xf numFmtId="0" fontId="4" fillId="4" borderId="2" xfId="0" applyFont="1" applyFill="1" applyBorder="1" applyAlignment="1" applyProtection="1">
      <alignment horizontal="center" vertical="center"/>
      <protection locked="0"/>
    </xf>
    <xf numFmtId="0" fontId="15" fillId="5" borderId="0" xfId="0" applyFont="1" applyFill="1" applyAlignment="1">
      <alignment horizontal="center" vertical="center" textRotation="90" wrapText="1"/>
    </xf>
    <xf numFmtId="0" fontId="4" fillId="0" borderId="0" xfId="0" applyFont="1" applyAlignment="1">
      <alignment textRotation="90" wrapText="1"/>
    </xf>
    <xf numFmtId="0" fontId="4" fillId="4" borderId="3" xfId="0" applyFont="1" applyFill="1" applyBorder="1" applyAlignment="1" applyProtection="1">
      <alignment horizontal="center" vertical="center"/>
      <protection locked="0"/>
    </xf>
    <xf numFmtId="0" fontId="12" fillId="2" borderId="0" xfId="0" applyFont="1" applyFill="1" applyAlignment="1">
      <alignment horizontal="left" wrapText="1"/>
    </xf>
    <xf numFmtId="0" fontId="4" fillId="2" borderId="0" xfId="0" applyFont="1" applyFill="1" applyAlignment="1">
      <alignment horizontal="center" wrapText="1"/>
    </xf>
    <xf numFmtId="0" fontId="4" fillId="2" borderId="0" xfId="0" applyFont="1" applyFill="1" applyAlignment="1">
      <alignment horizontal="left" wrapText="1"/>
    </xf>
    <xf numFmtId="0" fontId="0" fillId="2" borderId="0" xfId="0" applyFill="1" applyAlignment="1">
      <alignment horizontal="left" wrapText="1"/>
    </xf>
    <xf numFmtId="0" fontId="61" fillId="56" borderId="36" xfId="87" applyFont="1" applyFill="1" applyBorder="1" applyAlignment="1">
      <alignment horizontal="center" vertical="top" wrapText="1"/>
    </xf>
    <xf numFmtId="0" fontId="61" fillId="56" borderId="37" xfId="87" applyFont="1" applyFill="1" applyBorder="1" applyAlignment="1">
      <alignment horizontal="center" vertical="top" wrapText="1"/>
    </xf>
    <xf numFmtId="0" fontId="61" fillId="56" borderId="40" xfId="87" applyFont="1" applyFill="1" applyBorder="1" applyAlignment="1">
      <alignment horizontal="center" vertical="top" wrapText="1"/>
    </xf>
    <xf numFmtId="0" fontId="67" fillId="0" borderId="64" xfId="11" applyFont="1" applyBorder="1" applyAlignment="1" applyProtection="1">
      <alignment horizontal="center"/>
    </xf>
    <xf numFmtId="0" fontId="67" fillId="0" borderId="65" xfId="11" applyFont="1" applyBorder="1" applyAlignment="1" applyProtection="1">
      <alignment horizontal="center"/>
    </xf>
    <xf numFmtId="0" fontId="67" fillId="0" borderId="66" xfId="11" applyFont="1" applyBorder="1" applyAlignment="1" applyProtection="1">
      <alignment horizontal="center"/>
    </xf>
    <xf numFmtId="0" fontId="67" fillId="0" borderId="34" xfId="11" applyFont="1" applyBorder="1" applyAlignment="1" applyProtection="1">
      <alignment horizontal="center"/>
    </xf>
    <xf numFmtId="0" fontId="67" fillId="0" borderId="33" xfId="11" applyFont="1" applyBorder="1" applyAlignment="1" applyProtection="1">
      <alignment horizontal="center"/>
    </xf>
    <xf numFmtId="0" fontId="67" fillId="0" borderId="67" xfId="11" applyFont="1" applyBorder="1" applyAlignment="1" applyProtection="1">
      <alignment horizontal="center"/>
    </xf>
    <xf numFmtId="0" fontId="67" fillId="0" borderId="32" xfId="11" applyFont="1" applyBorder="1" applyAlignment="1" applyProtection="1">
      <alignment horizontal="center"/>
    </xf>
    <xf numFmtId="0" fontId="67" fillId="0" borderId="31" xfId="11" applyFont="1" applyBorder="1" applyAlignment="1" applyProtection="1">
      <alignment horizontal="center"/>
    </xf>
    <xf numFmtId="0" fontId="67" fillId="0" borderId="68" xfId="11" applyFont="1" applyBorder="1" applyAlignment="1" applyProtection="1">
      <alignment horizontal="center"/>
    </xf>
    <xf numFmtId="0" fontId="61" fillId="49" borderId="36" xfId="87" applyFont="1" applyFill="1" applyBorder="1" applyAlignment="1">
      <alignment horizontal="center" vertical="top" wrapText="1"/>
    </xf>
    <xf numFmtId="0" fontId="61" fillId="49" borderId="37" xfId="87" applyFont="1" applyFill="1" applyBorder="1" applyAlignment="1">
      <alignment horizontal="center" vertical="top" wrapText="1"/>
    </xf>
    <xf numFmtId="0" fontId="61" fillId="49" borderId="40" xfId="87" applyFont="1" applyFill="1" applyBorder="1" applyAlignment="1">
      <alignment horizontal="center" vertical="top" wrapText="1"/>
    </xf>
    <xf numFmtId="0" fontId="72" fillId="62" borderId="25" xfId="0" applyFont="1" applyFill="1" applyBorder="1" applyAlignment="1">
      <alignment horizontal="center" vertical="center"/>
    </xf>
    <xf numFmtId="0" fontId="72" fillId="62" borderId="79" xfId="0" applyFont="1" applyFill="1" applyBorder="1" applyAlignment="1">
      <alignment horizontal="center" vertical="center"/>
    </xf>
    <xf numFmtId="9" fontId="78" fillId="47" borderId="11" xfId="14" applyFont="1" applyFill="1" applyBorder="1" applyAlignment="1" applyProtection="1">
      <alignment horizontal="center" vertical="center"/>
      <protection locked="0"/>
    </xf>
    <xf numFmtId="9" fontId="78" fillId="47" borderId="0" xfId="14" applyFont="1" applyFill="1" applyBorder="1" applyAlignment="1" applyProtection="1">
      <alignment horizontal="center" vertical="center"/>
      <protection locked="0"/>
    </xf>
    <xf numFmtId="10" fontId="81" fillId="62" borderId="11" xfId="0" applyNumberFormat="1" applyFont="1" applyFill="1" applyBorder="1" applyAlignment="1">
      <alignment horizontal="center" vertical="center"/>
    </xf>
    <xf numFmtId="10" fontId="81" fillId="62" borderId="0" xfId="0" applyNumberFormat="1" applyFont="1" applyFill="1" applyBorder="1" applyAlignment="1">
      <alignment horizontal="center" vertical="center"/>
    </xf>
    <xf numFmtId="0" fontId="91" fillId="40" borderId="0" xfId="0" applyFont="1" applyFill="1" applyBorder="1" applyAlignment="1">
      <alignment horizontal="center" vertical="center" wrapText="1"/>
    </xf>
    <xf numFmtId="0" fontId="0" fillId="48" borderId="64" xfId="0" applyFill="1" applyBorder="1" applyAlignment="1">
      <alignment horizontal="center" vertical="center" wrapText="1"/>
    </xf>
    <xf numFmtId="0" fontId="0" fillId="48" borderId="65" xfId="0" applyFill="1" applyBorder="1" applyAlignment="1">
      <alignment horizontal="center" vertical="center" wrapText="1"/>
    </xf>
    <xf numFmtId="0" fontId="0" fillId="48" borderId="66" xfId="0" applyFill="1" applyBorder="1" applyAlignment="1">
      <alignment horizontal="center" vertical="center" wrapText="1"/>
    </xf>
  </cellXfs>
  <cellStyles count="89">
    <cellStyle name="20% - Accent1" xfId="33" builtinId="30" customBuiltin="1"/>
    <cellStyle name="20% - Accent1 2" xfId="70" xr:uid="{00000000-0005-0000-0000-000001000000}"/>
    <cellStyle name="20% - Accent2" xfId="37" builtinId="34" customBuiltin="1"/>
    <cellStyle name="20% - Accent2 2" xfId="72" xr:uid="{00000000-0005-0000-0000-000003000000}"/>
    <cellStyle name="20% - Accent3" xfId="41" builtinId="38" customBuiltin="1"/>
    <cellStyle name="20% - Accent3 2" xfId="74" xr:uid="{00000000-0005-0000-0000-000005000000}"/>
    <cellStyle name="20% - Accent4" xfId="45" builtinId="42" customBuiltin="1"/>
    <cellStyle name="20% - Accent4 2" xfId="76" xr:uid="{00000000-0005-0000-0000-000007000000}"/>
    <cellStyle name="20% - Accent5" xfId="49" builtinId="46" customBuiltin="1"/>
    <cellStyle name="20% - Accent5 2" xfId="78" xr:uid="{00000000-0005-0000-0000-000009000000}"/>
    <cellStyle name="20% - Accent6" xfId="53" builtinId="50" customBuiltin="1"/>
    <cellStyle name="20% - Accent6 2" xfId="80" xr:uid="{00000000-0005-0000-0000-00000B000000}"/>
    <cellStyle name="40% - Accent1" xfId="34" builtinId="31" customBuiltin="1"/>
    <cellStyle name="40% - Accent1 2" xfId="71" xr:uid="{00000000-0005-0000-0000-00000D000000}"/>
    <cellStyle name="40% - Accent2" xfId="38" builtinId="35" customBuiltin="1"/>
    <cellStyle name="40% - Accent2 2" xfId="73" xr:uid="{00000000-0005-0000-0000-00000F000000}"/>
    <cellStyle name="40% - Accent3" xfId="42" builtinId="39" customBuiltin="1"/>
    <cellStyle name="40% - Accent3 2" xfId="75" xr:uid="{00000000-0005-0000-0000-000011000000}"/>
    <cellStyle name="40% - Accent4" xfId="46" builtinId="43" customBuiltin="1"/>
    <cellStyle name="40% - Accent4 2" xfId="77" xr:uid="{00000000-0005-0000-0000-000013000000}"/>
    <cellStyle name="40% - Accent5" xfId="50" builtinId="47" customBuiltin="1"/>
    <cellStyle name="40% - Accent5 2" xfId="79" xr:uid="{00000000-0005-0000-0000-000015000000}"/>
    <cellStyle name="40% - Accent6" xfId="54" builtinId="51" customBuiltin="1"/>
    <cellStyle name="40% - Accent6 2" xfId="81" xr:uid="{00000000-0005-0000-0000-000017000000}"/>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xr:uid="{00000000-0005-0000-0000-000027000000}"/>
    <cellStyle name="Comma 2 2" xfId="2" xr:uid="{00000000-0005-0000-0000-000028000000}"/>
    <cellStyle name="Comma 2 3" xfId="61" xr:uid="{00000000-0005-0000-0000-000029000000}"/>
    <cellStyle name="Comma 3" xfId="57" xr:uid="{00000000-0005-0000-0000-00002A000000}"/>
    <cellStyle name="Comma0" xfId="3" xr:uid="{00000000-0005-0000-0000-00002B000000}"/>
    <cellStyle name="Currency" xfId="86" builtinId="4"/>
    <cellStyle name="Currency 2" xfId="4" xr:uid="{00000000-0005-0000-0000-00002D000000}"/>
    <cellStyle name="Currency 2 2" xfId="5" xr:uid="{00000000-0005-0000-0000-00002E000000}"/>
    <cellStyle name="Currency 2 3" xfId="62" xr:uid="{00000000-0005-0000-0000-00002F000000}"/>
    <cellStyle name="Currency 3" xfId="58" xr:uid="{00000000-0005-0000-0000-000030000000}"/>
    <cellStyle name="Currency0" xfId="6" xr:uid="{00000000-0005-0000-0000-000031000000}"/>
    <cellStyle name="Date" xfId="7" xr:uid="{00000000-0005-0000-0000-000032000000}"/>
    <cellStyle name="Explanatory Text" xfId="31" builtinId="53" customBuiltin="1"/>
    <cellStyle name="Fixed" xfId="8" xr:uid="{00000000-0005-0000-0000-000034000000}"/>
    <cellStyle name="Good" xfId="22" builtinId="26" customBuiltin="1"/>
    <cellStyle name="Heading 1 2" xfId="9" xr:uid="{00000000-0005-0000-0000-000036000000}"/>
    <cellStyle name="Heading 1 2 2" xfId="65" xr:uid="{00000000-0005-0000-0000-000037000000}"/>
    <cellStyle name="Heading 2" xfId="87" builtinId="17"/>
    <cellStyle name="Heading 2 2" xfId="10" xr:uid="{00000000-0005-0000-0000-000039000000}"/>
    <cellStyle name="Heading 2 2 2" xfId="66" xr:uid="{00000000-0005-0000-0000-00003A000000}"/>
    <cellStyle name="Heading 3" xfId="20" builtinId="18" customBuiltin="1"/>
    <cellStyle name="Heading 4" xfId="21" builtinId="19" customBuiltin="1"/>
    <cellStyle name="Hyperlink" xfId="11" builtinId="8"/>
    <cellStyle name="Hyperlink 2" xfId="12" xr:uid="{00000000-0005-0000-0000-00003E000000}"/>
    <cellStyle name="Input" xfId="25" builtinId="20" customBuiltin="1"/>
    <cellStyle name="Linked Cell" xfId="28" builtinId="24" customBuiltin="1"/>
    <cellStyle name="Neutral" xfId="24" builtinId="28" customBuiltin="1"/>
    <cellStyle name="Normal" xfId="0" builtinId="0"/>
    <cellStyle name="Normal 2" xfId="13" xr:uid="{00000000-0005-0000-0000-000043000000}"/>
    <cellStyle name="Normal 2 2" xfId="59" xr:uid="{00000000-0005-0000-0000-000044000000}"/>
    <cellStyle name="Normal 3" xfId="64" xr:uid="{00000000-0005-0000-0000-000045000000}"/>
    <cellStyle name="Normal 3 2" xfId="82" xr:uid="{00000000-0005-0000-0000-000046000000}"/>
    <cellStyle name="Normal 4" xfId="56" xr:uid="{00000000-0005-0000-0000-000047000000}"/>
    <cellStyle name="Note 2" xfId="67" xr:uid="{00000000-0005-0000-0000-000048000000}"/>
    <cellStyle name="Note 2 2" xfId="83" xr:uid="{00000000-0005-0000-0000-000049000000}"/>
    <cellStyle name="Output" xfId="26" builtinId="21" customBuiltin="1"/>
    <cellStyle name="Percent" xfId="14" builtinId="5"/>
    <cellStyle name="Percent 2" xfId="15" xr:uid="{00000000-0005-0000-0000-00004C000000}"/>
    <cellStyle name="Percent 2 2" xfId="16" xr:uid="{00000000-0005-0000-0000-00004D000000}"/>
    <cellStyle name="Percent 2 2 2" xfId="60" xr:uid="{00000000-0005-0000-0000-00004E000000}"/>
    <cellStyle name="Percent 2 3" xfId="63" xr:uid="{00000000-0005-0000-0000-00004F000000}"/>
    <cellStyle name="Percent 3" xfId="17" xr:uid="{00000000-0005-0000-0000-000050000000}"/>
    <cellStyle name="Percent 3 2" xfId="68" xr:uid="{00000000-0005-0000-0000-000051000000}"/>
    <cellStyle name="Percent 3 3" xfId="84" xr:uid="{00000000-0005-0000-0000-000052000000}"/>
    <cellStyle name="Percent 4" xfId="85" xr:uid="{00000000-0005-0000-0000-000053000000}"/>
    <cellStyle name="Title" xfId="19" builtinId="15" customBuiltin="1"/>
    <cellStyle name="Total" xfId="88" builtinId="25"/>
    <cellStyle name="Total 2" xfId="18" xr:uid="{00000000-0005-0000-0000-000056000000}"/>
    <cellStyle name="Total 2 2" xfId="69" xr:uid="{00000000-0005-0000-0000-000057000000}"/>
    <cellStyle name="Warning Text" xfId="30" builtinId="11" customBuiltin="1"/>
  </cellStyles>
  <dxfs count="1">
    <dxf>
      <font>
        <color rgb="FF9C0006"/>
      </font>
      <fill>
        <patternFill>
          <bgColor rgb="FFFFC7CE"/>
        </patternFill>
      </fill>
    </dxf>
  </dxfs>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2</xdr:col>
      <xdr:colOff>1076325</xdr:colOff>
      <xdr:row>1</xdr:row>
      <xdr:rowOff>38101</xdr:rowOff>
    </xdr:from>
    <xdr:to>
      <xdr:col>5</xdr:col>
      <xdr:colOff>85725</xdr:colOff>
      <xdr:row>4</xdr:row>
      <xdr:rowOff>152401</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838575" y="228601"/>
          <a:ext cx="1371600"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FF0000"/>
              </a:solidFill>
            </a:rPr>
            <a:t>This tab is for internal OSPA/SPA</a:t>
          </a:r>
          <a:r>
            <a:rPr lang="en-US" sz="1100" b="1" baseline="0">
              <a:solidFill>
                <a:srgbClr val="FF0000"/>
              </a:solidFill>
            </a:rPr>
            <a:t> use only.  </a:t>
          </a:r>
          <a:endParaRPr lang="en-US"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s>
    <sheetDataSet>
      <sheetData sheetId="0">
        <row r="10">
          <cell r="I10">
            <v>0</v>
          </cell>
        </row>
      </sheetData>
      <sheetData sheetId="1"/>
      <sheetData sheetId="2"/>
      <sheetData sheetId="3"/>
      <sheetData sheetId="4"/>
      <sheetData sheetId="5"/>
      <sheetData sheetId="6" refreshError="1"/>
      <sheetData sheetId="7" refreshError="1"/>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grad-college.iastate.edu/handbook/chapter.php?id=3" TargetMode="External"/><Relationship Id="rId2" Type="http://schemas.openxmlformats.org/officeDocument/2006/relationships/hyperlink" Target="http://www.controller.iastate.edu/spa/PSC.pdf" TargetMode="External"/><Relationship Id="rId1" Type="http://schemas.openxmlformats.org/officeDocument/2006/relationships/hyperlink" Target="http://www.grad-college.iastate.edu/post_doc/policies.php"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controller.iastate.edu/travelinformation/homepage.htm" TargetMode="External"/><Relationship Id="rId1" Type="http://schemas.openxmlformats.org/officeDocument/2006/relationships/hyperlink" Target="https://aoprals.state.gov/web920/per_diem.a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4"/>
    <pageSetUpPr fitToPage="1"/>
  </sheetPr>
  <dimension ref="A1:V145"/>
  <sheetViews>
    <sheetView tabSelected="1" zoomScaleNormal="100" workbookViewId="0">
      <pane ySplit="12" topLeftCell="A52" activePane="bottomLeft" state="frozen"/>
      <selection pane="bottomLeft" activeCell="H71" sqref="H71"/>
    </sheetView>
  </sheetViews>
  <sheetFormatPr defaultColWidth="8.81640625" defaultRowHeight="12.5" x14ac:dyDescent="0.25"/>
  <cols>
    <col min="1" max="1" width="5" style="73" customWidth="1"/>
    <col min="2" max="2" width="3.1796875" style="73" customWidth="1"/>
    <col min="3" max="3" width="27.453125" style="73" customWidth="1"/>
    <col min="4" max="4" width="11.1796875" style="73" customWidth="1"/>
    <col min="5" max="5" width="12.7265625" style="73" customWidth="1"/>
    <col min="6" max="6" width="13" style="73" customWidth="1"/>
    <col min="7" max="7" width="14.26953125" style="73" customWidth="1"/>
    <col min="8" max="9" width="14.81640625" style="73" customWidth="1"/>
    <col min="10" max="15" width="15" style="73" customWidth="1"/>
    <col min="16" max="17" width="14.81640625" style="73" customWidth="1"/>
    <col min="18" max="20" width="15.453125" style="73" customWidth="1"/>
    <col min="21" max="21" width="11.26953125" style="1" bestFit="1" customWidth="1"/>
  </cols>
  <sheetData>
    <row r="1" spans="1:22" ht="18" x14ac:dyDescent="0.4">
      <c r="A1" s="225" t="s">
        <v>75</v>
      </c>
      <c r="B1" s="226"/>
      <c r="C1" s="226"/>
      <c r="D1" s="226"/>
      <c r="E1" s="226"/>
      <c r="F1" s="226"/>
      <c r="G1" s="226"/>
      <c r="H1" s="227"/>
      <c r="I1" s="227"/>
      <c r="J1" s="227"/>
      <c r="K1" s="227"/>
      <c r="L1" s="227"/>
      <c r="M1" s="227"/>
      <c r="N1" s="227"/>
      <c r="O1" s="227"/>
      <c r="P1" s="228"/>
      <c r="Q1" s="228"/>
      <c r="R1" s="228"/>
      <c r="S1" s="559" t="s">
        <v>322</v>
      </c>
      <c r="T1" s="560"/>
    </row>
    <row r="2" spans="1:22" ht="18" x14ac:dyDescent="0.4">
      <c r="A2" s="226"/>
      <c r="B2" s="226"/>
      <c r="C2" s="226"/>
      <c r="D2" s="226"/>
      <c r="E2" s="226"/>
      <c r="F2" s="226"/>
      <c r="G2" s="226"/>
      <c r="H2" s="226"/>
      <c r="I2" s="226"/>
      <c r="J2" s="226"/>
      <c r="K2" s="226"/>
      <c r="L2" s="226"/>
      <c r="M2" s="226"/>
      <c r="N2" s="226"/>
      <c r="O2" s="226"/>
      <c r="P2" s="228"/>
      <c r="Q2" s="228"/>
      <c r="R2" s="228"/>
      <c r="S2" s="563" t="s">
        <v>323</v>
      </c>
      <c r="T2" s="564"/>
      <c r="U2" s="93"/>
    </row>
    <row r="3" spans="1:22" ht="15.5" x14ac:dyDescent="0.35">
      <c r="A3" s="229" t="s">
        <v>0</v>
      </c>
      <c r="B3" s="229"/>
      <c r="C3" s="229"/>
      <c r="D3" s="229"/>
      <c r="E3" s="554" t="s">
        <v>202</v>
      </c>
      <c r="F3" s="555"/>
      <c r="G3" s="234">
        <v>44440</v>
      </c>
      <c r="H3" s="228"/>
      <c r="I3" s="238" t="s">
        <v>207</v>
      </c>
      <c r="J3" s="229"/>
      <c r="K3" s="228"/>
      <c r="L3" s="228"/>
      <c r="M3" s="228"/>
      <c r="N3" s="228"/>
      <c r="O3" s="228"/>
      <c r="P3" s="228"/>
      <c r="Q3" s="228"/>
      <c r="R3" s="228"/>
      <c r="S3" s="228"/>
      <c r="T3" s="228"/>
      <c r="U3" s="307"/>
    </row>
    <row r="4" spans="1:22" ht="15.75" customHeight="1" x14ac:dyDescent="0.35">
      <c r="A4" s="229" t="s">
        <v>1</v>
      </c>
      <c r="B4" s="229"/>
      <c r="C4" s="229"/>
      <c r="D4" s="229"/>
      <c r="E4" s="235"/>
      <c r="F4" s="310" t="s">
        <v>230</v>
      </c>
      <c r="G4" s="284">
        <v>0</v>
      </c>
      <c r="H4" s="309">
        <f>TRUNC(G4, 4)</f>
        <v>0</v>
      </c>
      <c r="I4" s="239" t="s">
        <v>208</v>
      </c>
      <c r="J4" s="239"/>
      <c r="K4" s="240"/>
      <c r="L4" s="240"/>
      <c r="M4" s="240"/>
      <c r="N4" s="240"/>
      <c r="O4" s="240"/>
      <c r="P4" s="240"/>
      <c r="Q4" s="240"/>
      <c r="R4" s="240"/>
      <c r="S4" s="228"/>
      <c r="T4" s="228"/>
      <c r="U4" s="278" t="s">
        <v>204</v>
      </c>
      <c r="V4" s="341" t="s">
        <v>252</v>
      </c>
    </row>
    <row r="5" spans="1:22" ht="15.5" x14ac:dyDescent="0.35">
      <c r="A5" s="229" t="s">
        <v>2</v>
      </c>
      <c r="B5" s="229"/>
      <c r="C5" s="229"/>
      <c r="D5" s="229"/>
      <c r="E5" s="235"/>
      <c r="F5" s="311" t="s">
        <v>203</v>
      </c>
      <c r="G5" s="236" t="s">
        <v>204</v>
      </c>
      <c r="H5" s="237"/>
      <c r="I5" s="241" t="s">
        <v>209</v>
      </c>
      <c r="J5" s="239"/>
      <c r="K5" s="240"/>
      <c r="L5" s="240"/>
      <c r="M5" s="240"/>
      <c r="N5" s="240"/>
      <c r="O5" s="240"/>
      <c r="P5" s="240"/>
      <c r="Q5" s="240"/>
      <c r="R5" s="240"/>
      <c r="S5" s="228"/>
      <c r="T5" s="228"/>
      <c r="U5" s="278" t="s">
        <v>205</v>
      </c>
      <c r="V5" s="341" t="s">
        <v>253</v>
      </c>
    </row>
    <row r="6" spans="1:22" ht="15.5" x14ac:dyDescent="0.35">
      <c r="A6" s="229" t="s">
        <v>3</v>
      </c>
      <c r="B6" s="229"/>
      <c r="C6" s="229"/>
      <c r="D6" s="229"/>
      <c r="E6" s="229"/>
      <c r="F6" s="334" t="s">
        <v>251</v>
      </c>
      <c r="G6" s="343" t="s">
        <v>253</v>
      </c>
      <c r="H6" s="228"/>
      <c r="I6" s="241" t="s">
        <v>242</v>
      </c>
      <c r="J6" s="239"/>
      <c r="K6" s="240"/>
      <c r="L6" s="240"/>
      <c r="M6" s="240"/>
      <c r="N6" s="240"/>
      <c r="O6" s="240"/>
      <c r="P6" s="240"/>
      <c r="Q6" s="240"/>
      <c r="R6" s="240"/>
      <c r="S6" s="228"/>
      <c r="T6" s="228"/>
      <c r="U6" s="278" t="s">
        <v>244</v>
      </c>
    </row>
    <row r="7" spans="1:22" ht="15.5" x14ac:dyDescent="0.35">
      <c r="A7" s="229" t="s">
        <v>4</v>
      </c>
      <c r="B7" s="229"/>
      <c r="C7" s="229"/>
      <c r="D7" s="230"/>
      <c r="E7" s="230"/>
      <c r="F7" s="230"/>
      <c r="G7" s="230"/>
      <c r="H7" s="228"/>
      <c r="I7" s="241" t="s">
        <v>243</v>
      </c>
      <c r="J7" s="242"/>
      <c r="K7" s="240"/>
      <c r="L7" s="240"/>
      <c r="M7" s="240"/>
      <c r="N7" s="240"/>
      <c r="O7" s="240"/>
      <c r="P7" s="240"/>
      <c r="Q7" s="240"/>
      <c r="R7" s="240"/>
      <c r="S7" s="231"/>
      <c r="T7" s="231"/>
      <c r="U7" s="278" t="s">
        <v>206</v>
      </c>
    </row>
    <row r="8" spans="1:22" ht="8.15" customHeight="1" x14ac:dyDescent="0.25">
      <c r="A8" s="26"/>
      <c r="B8" s="26"/>
      <c r="C8" s="26"/>
      <c r="D8" s="26"/>
      <c r="E8" s="26"/>
      <c r="F8" s="26"/>
      <c r="G8" s="26"/>
      <c r="H8" s="220"/>
      <c r="I8" s="220"/>
      <c r="J8" s="220"/>
      <c r="K8" s="220"/>
      <c r="L8" s="220"/>
      <c r="M8" s="220"/>
      <c r="N8" s="220"/>
      <c r="O8" s="220"/>
      <c r="P8" s="220"/>
      <c r="Q8" s="220"/>
      <c r="R8" s="26"/>
      <c r="S8" s="26"/>
      <c r="T8" s="26"/>
      <c r="U8" s="307"/>
    </row>
    <row r="9" spans="1:22" ht="15.75" customHeight="1" x14ac:dyDescent="0.35">
      <c r="A9" s="26"/>
      <c r="B9" s="26"/>
      <c r="C9" s="26"/>
      <c r="D9" s="26"/>
      <c r="E9" s="26"/>
      <c r="F9" s="27"/>
      <c r="G9" s="28"/>
      <c r="H9" s="561" t="s">
        <v>5</v>
      </c>
      <c r="I9" s="562"/>
      <c r="J9" s="561" t="s">
        <v>42</v>
      </c>
      <c r="K9" s="562"/>
      <c r="L9" s="561" t="s">
        <v>48</v>
      </c>
      <c r="M9" s="562"/>
      <c r="N9" s="561" t="s">
        <v>47</v>
      </c>
      <c r="O9" s="562"/>
      <c r="P9" s="561" t="s">
        <v>46</v>
      </c>
      <c r="Q9" s="562"/>
      <c r="R9" s="556" t="s">
        <v>241</v>
      </c>
      <c r="S9" s="556" t="s">
        <v>88</v>
      </c>
      <c r="T9" s="556" t="s">
        <v>89</v>
      </c>
    </row>
    <row r="10" spans="1:22" s="142" customFormat="1" ht="15.75" customHeight="1" x14ac:dyDescent="0.35">
      <c r="A10" s="26"/>
      <c r="B10" s="26"/>
      <c r="C10" s="26"/>
      <c r="D10" s="26"/>
      <c r="E10" s="26"/>
      <c r="F10" s="27"/>
      <c r="G10" s="28"/>
      <c r="H10" s="232" t="s">
        <v>199</v>
      </c>
      <c r="I10" s="233" t="s">
        <v>200</v>
      </c>
      <c r="J10" s="232" t="s">
        <v>199</v>
      </c>
      <c r="K10" s="232" t="s">
        <v>200</v>
      </c>
      <c r="L10" s="232" t="s">
        <v>199</v>
      </c>
      <c r="M10" s="232" t="s">
        <v>200</v>
      </c>
      <c r="N10" s="232" t="s">
        <v>201</v>
      </c>
      <c r="O10" s="232" t="s">
        <v>200</v>
      </c>
      <c r="P10" s="232" t="s">
        <v>199</v>
      </c>
      <c r="Q10" s="232" t="s">
        <v>200</v>
      </c>
      <c r="R10" s="557"/>
      <c r="S10" s="557"/>
      <c r="T10" s="557"/>
      <c r="U10" s="1"/>
    </row>
    <row r="11" spans="1:22" s="142" customFormat="1" ht="15.75" customHeight="1" x14ac:dyDescent="0.35">
      <c r="A11" s="26"/>
      <c r="B11" s="26"/>
      <c r="C11" s="26"/>
      <c r="D11" s="26"/>
      <c r="E11" s="26"/>
      <c r="F11" s="27"/>
      <c r="G11" s="28"/>
      <c r="H11" s="221">
        <f>DATE(YEAR(G3),MONTH(G3),DAY(G3))</f>
        <v>44440</v>
      </c>
      <c r="I11" s="221">
        <f>J11-1</f>
        <v>44804</v>
      </c>
      <c r="J11" s="221">
        <f>DATE(YEAR(G3)+1,MONTH(G3),DAY(G3))</f>
        <v>44805</v>
      </c>
      <c r="K11" s="221">
        <f>L11-1</f>
        <v>45169</v>
      </c>
      <c r="L11" s="221">
        <f>DATE(YEAR(G3)+2,MONTH(G3),DAY(G3))</f>
        <v>45170</v>
      </c>
      <c r="M11" s="221">
        <f>N11-1</f>
        <v>45535</v>
      </c>
      <c r="N11" s="243">
        <f>DATE(YEAR(G3)+3,MONTH(G3),DAY(G3))</f>
        <v>45536</v>
      </c>
      <c r="O11" s="221">
        <f>P11-1</f>
        <v>45900</v>
      </c>
      <c r="P11" s="221">
        <f>DATE(YEAR(G3)+4,MONTH(G3),DAY(G3))</f>
        <v>45901</v>
      </c>
      <c r="Q11" s="221">
        <f>P11+364</f>
        <v>46265</v>
      </c>
      <c r="R11" s="557"/>
      <c r="S11" s="557"/>
      <c r="T11" s="557"/>
      <c r="U11" s="1"/>
    </row>
    <row r="12" spans="1:22" ht="24" x14ac:dyDescent="0.35">
      <c r="A12" s="26"/>
      <c r="B12" s="26"/>
      <c r="C12" s="26"/>
      <c r="D12" s="26"/>
      <c r="E12" s="26"/>
      <c r="F12" s="29"/>
      <c r="G12" s="29"/>
      <c r="H12" s="99" t="s">
        <v>240</v>
      </c>
      <c r="I12" s="30" t="s">
        <v>87</v>
      </c>
      <c r="J12" s="99" t="s">
        <v>240</v>
      </c>
      <c r="K12" s="30" t="s">
        <v>87</v>
      </c>
      <c r="L12" s="99" t="s">
        <v>240</v>
      </c>
      <c r="M12" s="30" t="s">
        <v>87</v>
      </c>
      <c r="N12" s="99" t="s">
        <v>240</v>
      </c>
      <c r="O12" s="30" t="s">
        <v>87</v>
      </c>
      <c r="P12" s="99" t="s">
        <v>240</v>
      </c>
      <c r="Q12" s="30" t="s">
        <v>87</v>
      </c>
      <c r="R12" s="558"/>
      <c r="S12" s="558"/>
      <c r="T12" s="558"/>
    </row>
    <row r="13" spans="1:22" ht="15.5" x14ac:dyDescent="0.35">
      <c r="A13" s="26"/>
      <c r="B13" s="26"/>
      <c r="C13" s="26"/>
      <c r="D13" s="31" t="s">
        <v>6</v>
      </c>
      <c r="E13" s="32" t="s">
        <v>12</v>
      </c>
      <c r="F13" s="32" t="s">
        <v>86</v>
      </c>
      <c r="G13" s="31" t="s">
        <v>7</v>
      </c>
      <c r="H13" s="219"/>
      <c r="I13" s="279"/>
      <c r="J13" s="280"/>
      <c r="K13" s="280"/>
      <c r="L13" s="280"/>
      <c r="M13" s="280"/>
      <c r="N13" s="280"/>
      <c r="O13" s="280"/>
      <c r="P13" s="280"/>
      <c r="Q13" s="280"/>
      <c r="R13" s="13"/>
      <c r="S13" s="283"/>
      <c r="T13" s="13"/>
    </row>
    <row r="14" spans="1:22" ht="15.5" x14ac:dyDescent="0.35">
      <c r="A14" s="33" t="s">
        <v>8</v>
      </c>
      <c r="B14" s="34"/>
      <c r="C14" s="35" t="s">
        <v>9</v>
      </c>
      <c r="D14" s="31" t="s">
        <v>10</v>
      </c>
      <c r="E14" s="31" t="s">
        <v>11</v>
      </c>
      <c r="F14" s="31" t="s">
        <v>11</v>
      </c>
      <c r="G14" s="31" t="s">
        <v>11</v>
      </c>
      <c r="H14" s="36">
        <f t="shared" ref="H14:Q14" si="0">SUM(H15:H23)</f>
        <v>5437.72</v>
      </c>
      <c r="I14" s="37">
        <f t="shared" si="0"/>
        <v>0</v>
      </c>
      <c r="J14" s="36">
        <f t="shared" si="0"/>
        <v>5601</v>
      </c>
      <c r="K14" s="37">
        <f t="shared" si="0"/>
        <v>0</v>
      </c>
      <c r="L14" s="36">
        <f t="shared" si="0"/>
        <v>5769</v>
      </c>
      <c r="M14" s="37">
        <f t="shared" si="0"/>
        <v>0</v>
      </c>
      <c r="N14" s="36">
        <f t="shared" si="0"/>
        <v>5942</v>
      </c>
      <c r="O14" s="38">
        <f t="shared" si="0"/>
        <v>0</v>
      </c>
      <c r="P14" s="39">
        <v>0</v>
      </c>
      <c r="Q14" s="38">
        <f t="shared" si="0"/>
        <v>0</v>
      </c>
      <c r="R14" s="14">
        <f>SUM(H14+J14+L14+N14+P14)</f>
        <v>22749.72</v>
      </c>
      <c r="S14" s="15">
        <f>SUM(I14+K14+M14+O14+Q14)</f>
        <v>0</v>
      </c>
      <c r="T14" s="14">
        <f>SUM(R14+S14)</f>
        <v>22749.72</v>
      </c>
    </row>
    <row r="15" spans="1:22" ht="15.5" x14ac:dyDescent="0.35">
      <c r="A15" s="33"/>
      <c r="B15" s="26">
        <v>1</v>
      </c>
      <c r="C15" s="100" t="s">
        <v>324</v>
      </c>
      <c r="D15" s="72">
        <v>10875.44</v>
      </c>
      <c r="E15" s="95">
        <v>0</v>
      </c>
      <c r="F15" s="95">
        <v>0</v>
      </c>
      <c r="G15" s="95">
        <v>0.5</v>
      </c>
      <c r="H15" s="96">
        <f>D15*(E15+F15+G15)</f>
        <v>5437.72</v>
      </c>
      <c r="I15" s="24">
        <v>0</v>
      </c>
      <c r="J15" s="96">
        <f>ROUND(H15*1.03,0)</f>
        <v>5601</v>
      </c>
      <c r="K15" s="24">
        <v>0</v>
      </c>
      <c r="L15" s="96">
        <f>ROUND(J15*1.03,0)</f>
        <v>5769</v>
      </c>
      <c r="M15" s="24">
        <v>0</v>
      </c>
      <c r="N15" s="96">
        <f>ROUND(L15*1.03,0)</f>
        <v>5942</v>
      </c>
      <c r="O15" s="24">
        <v>0</v>
      </c>
      <c r="P15" s="97">
        <v>0</v>
      </c>
      <c r="Q15" s="24">
        <v>0</v>
      </c>
      <c r="R15" s="98">
        <f>SUM(H15+J15+L15+N15+P15)</f>
        <v>22749.72</v>
      </c>
      <c r="S15" s="16">
        <f t="shared" ref="S15:S23" si="1">SUM(I15+K15+M15+O15+Q15)</f>
        <v>0</v>
      </c>
      <c r="T15" s="98">
        <f>SUM(R15+S15)</f>
        <v>22749.72</v>
      </c>
      <c r="U15" s="2"/>
    </row>
    <row r="16" spans="1:22" ht="15.5" x14ac:dyDescent="0.35">
      <c r="A16" s="33"/>
      <c r="B16" s="26">
        <v>2</v>
      </c>
      <c r="C16" s="107"/>
      <c r="D16" s="72">
        <v>0</v>
      </c>
      <c r="E16" s="95">
        <v>0</v>
      </c>
      <c r="F16" s="95">
        <v>0</v>
      </c>
      <c r="G16" s="95">
        <v>0</v>
      </c>
      <c r="H16" s="96">
        <f t="shared" ref="H15:H23" si="2">D16*(E16+F16+G16)</f>
        <v>0</v>
      </c>
      <c r="I16" s="24">
        <v>0</v>
      </c>
      <c r="J16" s="96">
        <f t="shared" ref="J16:J23" si="3">ROUND(H16*1.03,0)</f>
        <v>0</v>
      </c>
      <c r="K16" s="24">
        <v>0</v>
      </c>
      <c r="L16" s="96">
        <f t="shared" ref="L16:L23" si="4">ROUND(J16*1.03,0)</f>
        <v>0</v>
      </c>
      <c r="M16" s="24">
        <v>0</v>
      </c>
      <c r="N16" s="96">
        <f t="shared" ref="N16:N23" si="5">ROUND(L16*1.03,0)</f>
        <v>0</v>
      </c>
      <c r="O16" s="24">
        <v>0</v>
      </c>
      <c r="P16" s="97">
        <f t="shared" ref="P16:P23" si="6">ROUND(N16*1.03,0)</f>
        <v>0</v>
      </c>
      <c r="Q16" s="24">
        <v>0</v>
      </c>
      <c r="R16" s="98">
        <f t="shared" ref="R16:R23" si="7">SUM(H16+J16+L16+N16+P16)</f>
        <v>0</v>
      </c>
      <c r="S16" s="16">
        <f t="shared" si="1"/>
        <v>0</v>
      </c>
      <c r="T16" s="98">
        <f t="shared" ref="T16:T23" si="8">SUM(R16+S16)</f>
        <v>0</v>
      </c>
    </row>
    <row r="17" spans="1:21" ht="15.5" x14ac:dyDescent="0.35">
      <c r="A17" s="33"/>
      <c r="B17" s="26">
        <v>3</v>
      </c>
      <c r="C17" s="94"/>
      <c r="D17" s="72">
        <v>0</v>
      </c>
      <c r="E17" s="95">
        <v>0</v>
      </c>
      <c r="F17" s="95">
        <v>0</v>
      </c>
      <c r="G17" s="95">
        <v>0</v>
      </c>
      <c r="H17" s="96">
        <f t="shared" si="2"/>
        <v>0</v>
      </c>
      <c r="I17" s="24">
        <v>0</v>
      </c>
      <c r="J17" s="96">
        <f t="shared" si="3"/>
        <v>0</v>
      </c>
      <c r="K17" s="24">
        <v>0</v>
      </c>
      <c r="L17" s="96">
        <f t="shared" si="4"/>
        <v>0</v>
      </c>
      <c r="M17" s="24">
        <v>0</v>
      </c>
      <c r="N17" s="96">
        <f t="shared" si="5"/>
        <v>0</v>
      </c>
      <c r="O17" s="24">
        <v>0</v>
      </c>
      <c r="P17" s="97">
        <f t="shared" si="6"/>
        <v>0</v>
      </c>
      <c r="Q17" s="24">
        <v>0</v>
      </c>
      <c r="R17" s="98">
        <f t="shared" si="7"/>
        <v>0</v>
      </c>
      <c r="S17" s="16">
        <f t="shared" si="1"/>
        <v>0</v>
      </c>
      <c r="T17" s="98">
        <f t="shared" si="8"/>
        <v>0</v>
      </c>
    </row>
    <row r="18" spans="1:21" ht="15.5" x14ac:dyDescent="0.35">
      <c r="A18" s="33"/>
      <c r="B18" s="26">
        <v>4</v>
      </c>
      <c r="C18" s="94"/>
      <c r="D18" s="72">
        <v>0</v>
      </c>
      <c r="E18" s="95">
        <v>0</v>
      </c>
      <c r="F18" s="95">
        <v>0</v>
      </c>
      <c r="G18" s="95">
        <v>0</v>
      </c>
      <c r="H18" s="96">
        <f t="shared" si="2"/>
        <v>0</v>
      </c>
      <c r="I18" s="24">
        <v>0</v>
      </c>
      <c r="J18" s="96">
        <f t="shared" si="3"/>
        <v>0</v>
      </c>
      <c r="K18" s="24">
        <v>0</v>
      </c>
      <c r="L18" s="96">
        <f t="shared" si="4"/>
        <v>0</v>
      </c>
      <c r="M18" s="24">
        <v>0</v>
      </c>
      <c r="N18" s="96">
        <f t="shared" si="5"/>
        <v>0</v>
      </c>
      <c r="O18" s="24">
        <v>0</v>
      </c>
      <c r="P18" s="97">
        <f t="shared" si="6"/>
        <v>0</v>
      </c>
      <c r="Q18" s="24">
        <v>0</v>
      </c>
      <c r="R18" s="98">
        <f t="shared" si="7"/>
        <v>0</v>
      </c>
      <c r="S18" s="16">
        <f t="shared" si="1"/>
        <v>0</v>
      </c>
      <c r="T18" s="98">
        <f t="shared" si="8"/>
        <v>0</v>
      </c>
      <c r="U18" s="12"/>
    </row>
    <row r="19" spans="1:21" ht="15.5" x14ac:dyDescent="0.35">
      <c r="A19" s="33"/>
      <c r="B19" s="26">
        <v>5</v>
      </c>
      <c r="C19" s="94"/>
      <c r="D19" s="72">
        <v>0</v>
      </c>
      <c r="E19" s="95">
        <v>0</v>
      </c>
      <c r="F19" s="95">
        <v>0</v>
      </c>
      <c r="G19" s="95">
        <v>0</v>
      </c>
      <c r="H19" s="96">
        <f t="shared" si="2"/>
        <v>0</v>
      </c>
      <c r="I19" s="24">
        <v>0</v>
      </c>
      <c r="J19" s="96">
        <f t="shared" si="3"/>
        <v>0</v>
      </c>
      <c r="K19" s="24">
        <v>0</v>
      </c>
      <c r="L19" s="96">
        <f t="shared" si="4"/>
        <v>0</v>
      </c>
      <c r="M19" s="24">
        <v>0</v>
      </c>
      <c r="N19" s="96">
        <f t="shared" si="5"/>
        <v>0</v>
      </c>
      <c r="O19" s="24">
        <v>0</v>
      </c>
      <c r="P19" s="97">
        <f t="shared" si="6"/>
        <v>0</v>
      </c>
      <c r="Q19" s="24">
        <v>0</v>
      </c>
      <c r="R19" s="98">
        <f t="shared" si="7"/>
        <v>0</v>
      </c>
      <c r="S19" s="16">
        <f t="shared" si="1"/>
        <v>0</v>
      </c>
      <c r="T19" s="98">
        <f t="shared" si="8"/>
        <v>0</v>
      </c>
    </row>
    <row r="20" spans="1:21" ht="15.5" x14ac:dyDescent="0.35">
      <c r="A20" s="33"/>
      <c r="B20" s="26">
        <v>6</v>
      </c>
      <c r="C20" s="94"/>
      <c r="D20" s="72">
        <v>0</v>
      </c>
      <c r="E20" s="95">
        <v>0</v>
      </c>
      <c r="F20" s="95">
        <v>0</v>
      </c>
      <c r="G20" s="95">
        <v>0</v>
      </c>
      <c r="H20" s="96">
        <f t="shared" si="2"/>
        <v>0</v>
      </c>
      <c r="I20" s="24">
        <v>0</v>
      </c>
      <c r="J20" s="96">
        <f t="shared" si="3"/>
        <v>0</v>
      </c>
      <c r="K20" s="24">
        <v>0</v>
      </c>
      <c r="L20" s="96">
        <f t="shared" si="4"/>
        <v>0</v>
      </c>
      <c r="M20" s="24">
        <v>0</v>
      </c>
      <c r="N20" s="96">
        <f t="shared" si="5"/>
        <v>0</v>
      </c>
      <c r="O20" s="24">
        <v>0</v>
      </c>
      <c r="P20" s="97">
        <f t="shared" si="6"/>
        <v>0</v>
      </c>
      <c r="Q20" s="24">
        <v>0</v>
      </c>
      <c r="R20" s="98">
        <f t="shared" si="7"/>
        <v>0</v>
      </c>
      <c r="S20" s="16">
        <f t="shared" si="1"/>
        <v>0</v>
      </c>
      <c r="T20" s="98">
        <f t="shared" si="8"/>
        <v>0</v>
      </c>
    </row>
    <row r="21" spans="1:21" ht="15.5" x14ac:dyDescent="0.35">
      <c r="A21" s="33"/>
      <c r="B21" s="26">
        <v>7</v>
      </c>
      <c r="C21" s="94"/>
      <c r="D21" s="72">
        <v>0</v>
      </c>
      <c r="E21" s="95">
        <v>0</v>
      </c>
      <c r="F21" s="95">
        <v>0</v>
      </c>
      <c r="G21" s="95">
        <v>0</v>
      </c>
      <c r="H21" s="96">
        <f t="shared" si="2"/>
        <v>0</v>
      </c>
      <c r="I21" s="24">
        <v>0</v>
      </c>
      <c r="J21" s="96">
        <f t="shared" si="3"/>
        <v>0</v>
      </c>
      <c r="K21" s="24">
        <v>0</v>
      </c>
      <c r="L21" s="96">
        <f t="shared" si="4"/>
        <v>0</v>
      </c>
      <c r="M21" s="24">
        <v>0</v>
      </c>
      <c r="N21" s="96">
        <f t="shared" si="5"/>
        <v>0</v>
      </c>
      <c r="O21" s="24">
        <v>0</v>
      </c>
      <c r="P21" s="97">
        <f t="shared" si="6"/>
        <v>0</v>
      </c>
      <c r="Q21" s="24">
        <v>0</v>
      </c>
      <c r="R21" s="98">
        <f t="shared" si="7"/>
        <v>0</v>
      </c>
      <c r="S21" s="16">
        <f t="shared" si="1"/>
        <v>0</v>
      </c>
      <c r="T21" s="98">
        <f t="shared" si="8"/>
        <v>0</v>
      </c>
    </row>
    <row r="22" spans="1:21" ht="15.5" x14ac:dyDescent="0.35">
      <c r="A22" s="33"/>
      <c r="B22" s="26">
        <v>8</v>
      </c>
      <c r="C22" s="94"/>
      <c r="D22" s="72">
        <v>0</v>
      </c>
      <c r="E22" s="95">
        <v>0</v>
      </c>
      <c r="F22" s="95">
        <v>0</v>
      </c>
      <c r="G22" s="95">
        <v>0</v>
      </c>
      <c r="H22" s="96">
        <f t="shared" si="2"/>
        <v>0</v>
      </c>
      <c r="I22" s="24">
        <v>0</v>
      </c>
      <c r="J22" s="96">
        <f t="shared" si="3"/>
        <v>0</v>
      </c>
      <c r="K22" s="24">
        <v>0</v>
      </c>
      <c r="L22" s="96">
        <f t="shared" si="4"/>
        <v>0</v>
      </c>
      <c r="M22" s="24">
        <v>0</v>
      </c>
      <c r="N22" s="96">
        <f t="shared" si="5"/>
        <v>0</v>
      </c>
      <c r="O22" s="24">
        <v>0</v>
      </c>
      <c r="P22" s="97">
        <f t="shared" si="6"/>
        <v>0</v>
      </c>
      <c r="Q22" s="24">
        <v>0</v>
      </c>
      <c r="R22" s="98">
        <f t="shared" si="7"/>
        <v>0</v>
      </c>
      <c r="S22" s="16">
        <f t="shared" si="1"/>
        <v>0</v>
      </c>
      <c r="T22" s="98">
        <f t="shared" si="8"/>
        <v>0</v>
      </c>
    </row>
    <row r="23" spans="1:21" x14ac:dyDescent="0.25">
      <c r="A23" s="26"/>
      <c r="B23" s="26">
        <v>9</v>
      </c>
      <c r="C23" s="100"/>
      <c r="D23" s="72">
        <v>0</v>
      </c>
      <c r="E23" s="95">
        <v>0</v>
      </c>
      <c r="F23" s="95">
        <v>0</v>
      </c>
      <c r="G23" s="95">
        <v>0</v>
      </c>
      <c r="H23" s="96">
        <f t="shared" si="2"/>
        <v>0</v>
      </c>
      <c r="I23" s="24">
        <v>0</v>
      </c>
      <c r="J23" s="96">
        <f t="shared" si="3"/>
        <v>0</v>
      </c>
      <c r="K23" s="24">
        <v>0</v>
      </c>
      <c r="L23" s="96">
        <f t="shared" si="4"/>
        <v>0</v>
      </c>
      <c r="M23" s="24">
        <v>0</v>
      </c>
      <c r="N23" s="96">
        <f t="shared" si="5"/>
        <v>0</v>
      </c>
      <c r="O23" s="24">
        <v>0</v>
      </c>
      <c r="P23" s="97">
        <f t="shared" si="6"/>
        <v>0</v>
      </c>
      <c r="Q23" s="24">
        <v>0</v>
      </c>
      <c r="R23" s="98">
        <f t="shared" si="7"/>
        <v>0</v>
      </c>
      <c r="S23" s="16">
        <f t="shared" si="1"/>
        <v>0</v>
      </c>
      <c r="T23" s="98">
        <f t="shared" si="8"/>
        <v>0</v>
      </c>
    </row>
    <row r="24" spans="1:21" s="6" customFormat="1" ht="15.5" x14ac:dyDescent="0.35">
      <c r="A24" s="43"/>
      <c r="B24" s="43"/>
      <c r="C24" s="43"/>
      <c r="D24" s="44"/>
      <c r="E24" s="44" t="s">
        <v>12</v>
      </c>
      <c r="F24" s="45"/>
      <c r="G24" s="44" t="s">
        <v>13</v>
      </c>
      <c r="H24" s="46"/>
      <c r="I24" s="46"/>
      <c r="J24" s="46"/>
      <c r="K24" s="46"/>
      <c r="L24" s="46"/>
      <c r="M24" s="46"/>
      <c r="N24" s="46"/>
      <c r="O24" s="46"/>
      <c r="P24" s="46"/>
      <c r="Q24" s="46"/>
      <c r="R24" s="20"/>
      <c r="S24" s="20"/>
      <c r="T24" s="20"/>
      <c r="U24" s="2"/>
    </row>
    <row r="25" spans="1:21" ht="15.5" x14ac:dyDescent="0.35">
      <c r="A25" s="33" t="s">
        <v>14</v>
      </c>
      <c r="B25" s="34"/>
      <c r="C25" s="35" t="s">
        <v>15</v>
      </c>
      <c r="D25" s="31" t="s">
        <v>10</v>
      </c>
      <c r="E25" s="31" t="s">
        <v>11</v>
      </c>
      <c r="F25" s="40"/>
      <c r="G25" s="47" t="s">
        <v>82</v>
      </c>
      <c r="H25" s="36">
        <f t="shared" ref="H25:Q25" si="9">SUM(H26:H37)</f>
        <v>60000</v>
      </c>
      <c r="I25" s="37">
        <f t="shared" si="9"/>
        <v>0</v>
      </c>
      <c r="J25" s="36">
        <f t="shared" si="9"/>
        <v>61800</v>
      </c>
      <c r="K25" s="37">
        <f t="shared" si="9"/>
        <v>0</v>
      </c>
      <c r="L25" s="36">
        <f t="shared" si="9"/>
        <v>63654</v>
      </c>
      <c r="M25" s="37">
        <f t="shared" si="9"/>
        <v>0</v>
      </c>
      <c r="N25" s="36">
        <f t="shared" si="9"/>
        <v>65563</v>
      </c>
      <c r="O25" s="37">
        <f t="shared" si="9"/>
        <v>0</v>
      </c>
      <c r="P25" s="39">
        <v>0</v>
      </c>
      <c r="Q25" s="37">
        <f t="shared" si="9"/>
        <v>0</v>
      </c>
      <c r="R25" s="14">
        <f>SUM(H25+J25+L25+N25+P25)</f>
        <v>251017</v>
      </c>
      <c r="S25" s="15">
        <f>SUM(I25+K25+M25+O25+Q25)</f>
        <v>0</v>
      </c>
      <c r="T25" s="14">
        <f>SUM(R25+S25)</f>
        <v>251017</v>
      </c>
      <c r="U25" s="23"/>
    </row>
    <row r="26" spans="1:21" ht="15.5" x14ac:dyDescent="0.35">
      <c r="A26" s="33"/>
      <c r="B26" s="26">
        <v>1</v>
      </c>
      <c r="C26" s="94" t="s">
        <v>16</v>
      </c>
      <c r="D26" s="72">
        <v>6000</v>
      </c>
      <c r="E26" s="95">
        <v>12</v>
      </c>
      <c r="F26" s="94"/>
      <c r="G26" s="95">
        <v>0</v>
      </c>
      <c r="H26" s="96">
        <f t="shared" ref="H26:H37" si="10">D26*(E26)*G26</f>
        <v>0</v>
      </c>
      <c r="I26" s="24">
        <v>0</v>
      </c>
      <c r="J26" s="96">
        <f>ROUND(H26*1.03,0)</f>
        <v>0</v>
      </c>
      <c r="K26" s="24">
        <v>0</v>
      </c>
      <c r="L26" s="96">
        <f>ROUND(J26*1.03,0)</f>
        <v>0</v>
      </c>
      <c r="M26" s="24">
        <v>0</v>
      </c>
      <c r="N26" s="96">
        <f>ROUND(L26*1.03,0)</f>
        <v>0</v>
      </c>
      <c r="O26" s="24">
        <v>0</v>
      </c>
      <c r="P26" s="97">
        <v>0</v>
      </c>
      <c r="Q26" s="24">
        <v>0</v>
      </c>
      <c r="R26" s="98">
        <f t="shared" ref="R26:S37" si="11">SUM(H26+J26+L26+N26+P26)</f>
        <v>0</v>
      </c>
      <c r="S26" s="16">
        <f t="shared" si="11"/>
        <v>0</v>
      </c>
      <c r="T26" s="98">
        <f t="shared" ref="T26:T37" si="12">SUM(R26+S26)</f>
        <v>0</v>
      </c>
    </row>
    <row r="27" spans="1:21" ht="15.5" x14ac:dyDescent="0.35">
      <c r="A27" s="33"/>
      <c r="B27" s="26">
        <v>2</v>
      </c>
      <c r="C27" s="94" t="s">
        <v>16</v>
      </c>
      <c r="D27" s="72">
        <v>0</v>
      </c>
      <c r="E27" s="95">
        <v>0</v>
      </c>
      <c r="F27" s="94"/>
      <c r="G27" s="95">
        <v>0</v>
      </c>
      <c r="H27" s="96">
        <f t="shared" si="10"/>
        <v>0</v>
      </c>
      <c r="I27" s="24">
        <v>0</v>
      </c>
      <c r="J27" s="96">
        <f t="shared" ref="J27:J37" si="13">ROUND(H27*1.03,0)</f>
        <v>0</v>
      </c>
      <c r="K27" s="24">
        <v>0</v>
      </c>
      <c r="L27" s="96">
        <f t="shared" ref="L27:L37" si="14">ROUND(J27*1.03,0)</f>
        <v>0</v>
      </c>
      <c r="M27" s="24">
        <v>0</v>
      </c>
      <c r="N27" s="96">
        <f t="shared" ref="N27:N37" si="15">ROUND(L27*1.03,0)</f>
        <v>0</v>
      </c>
      <c r="O27" s="24">
        <v>0</v>
      </c>
      <c r="P27" s="97">
        <f t="shared" ref="P27:P37" si="16">ROUND(N27*1.03,0)</f>
        <v>0</v>
      </c>
      <c r="Q27" s="24">
        <v>0</v>
      </c>
      <c r="R27" s="98">
        <f t="shared" si="11"/>
        <v>0</v>
      </c>
      <c r="S27" s="16">
        <f t="shared" si="11"/>
        <v>0</v>
      </c>
      <c r="T27" s="98">
        <f t="shared" si="12"/>
        <v>0</v>
      </c>
    </row>
    <row r="28" spans="1:21" ht="15.5" x14ac:dyDescent="0.35">
      <c r="A28" s="33"/>
      <c r="B28" s="26">
        <v>3</v>
      </c>
      <c r="C28" s="94" t="s">
        <v>17</v>
      </c>
      <c r="D28" s="72">
        <v>2200</v>
      </c>
      <c r="E28" s="95">
        <v>12</v>
      </c>
      <c r="F28" s="94"/>
      <c r="G28" s="95">
        <v>2</v>
      </c>
      <c r="H28" s="96">
        <f t="shared" si="10"/>
        <v>52800</v>
      </c>
      <c r="I28" s="24">
        <v>0</v>
      </c>
      <c r="J28" s="96">
        <f t="shared" si="13"/>
        <v>54384</v>
      </c>
      <c r="K28" s="24">
        <v>0</v>
      </c>
      <c r="L28" s="96">
        <f t="shared" si="14"/>
        <v>56016</v>
      </c>
      <c r="M28" s="24">
        <v>0</v>
      </c>
      <c r="N28" s="96">
        <f t="shared" si="15"/>
        <v>57696</v>
      </c>
      <c r="O28" s="24">
        <v>0</v>
      </c>
      <c r="P28" s="97">
        <v>0</v>
      </c>
      <c r="Q28" s="24">
        <v>0</v>
      </c>
      <c r="R28" s="98">
        <f t="shared" si="11"/>
        <v>220896</v>
      </c>
      <c r="S28" s="16">
        <f t="shared" si="11"/>
        <v>0</v>
      </c>
      <c r="T28" s="98">
        <f t="shared" si="12"/>
        <v>220896</v>
      </c>
    </row>
    <row r="29" spans="1:21" ht="15.5" x14ac:dyDescent="0.35">
      <c r="A29" s="33"/>
      <c r="B29" s="26">
        <v>4</v>
      </c>
      <c r="C29" s="94" t="s">
        <v>17</v>
      </c>
      <c r="D29" s="72">
        <v>0</v>
      </c>
      <c r="E29" s="95">
        <v>0</v>
      </c>
      <c r="F29" s="94"/>
      <c r="G29" s="95">
        <v>0</v>
      </c>
      <c r="H29" s="96">
        <f t="shared" si="10"/>
        <v>0</v>
      </c>
      <c r="I29" s="24">
        <v>0</v>
      </c>
      <c r="J29" s="96">
        <f t="shared" si="13"/>
        <v>0</v>
      </c>
      <c r="K29" s="24">
        <v>0</v>
      </c>
      <c r="L29" s="96">
        <f t="shared" si="14"/>
        <v>0</v>
      </c>
      <c r="M29" s="24">
        <v>0</v>
      </c>
      <c r="N29" s="96">
        <f t="shared" si="15"/>
        <v>0</v>
      </c>
      <c r="O29" s="24">
        <v>0</v>
      </c>
      <c r="P29" s="97">
        <f t="shared" si="16"/>
        <v>0</v>
      </c>
      <c r="Q29" s="24">
        <v>0</v>
      </c>
      <c r="R29" s="98">
        <f t="shared" si="11"/>
        <v>0</v>
      </c>
      <c r="S29" s="16">
        <f t="shared" si="11"/>
        <v>0</v>
      </c>
      <c r="T29" s="98">
        <f t="shared" si="12"/>
        <v>0</v>
      </c>
    </row>
    <row r="30" spans="1:21" ht="15.5" x14ac:dyDescent="0.35">
      <c r="A30" s="33"/>
      <c r="B30" s="26">
        <v>5</v>
      </c>
      <c r="C30" s="94" t="s">
        <v>18</v>
      </c>
      <c r="D30" s="72">
        <v>1200</v>
      </c>
      <c r="E30" s="95">
        <v>3</v>
      </c>
      <c r="F30" s="94"/>
      <c r="G30" s="95">
        <v>2</v>
      </c>
      <c r="H30" s="96">
        <f t="shared" si="10"/>
        <v>7200</v>
      </c>
      <c r="I30" s="24">
        <v>0</v>
      </c>
      <c r="J30" s="96">
        <f t="shared" si="13"/>
        <v>7416</v>
      </c>
      <c r="K30" s="24">
        <v>0</v>
      </c>
      <c r="L30" s="96">
        <f t="shared" si="14"/>
        <v>7638</v>
      </c>
      <c r="M30" s="24">
        <v>0</v>
      </c>
      <c r="N30" s="96">
        <f t="shared" si="15"/>
        <v>7867</v>
      </c>
      <c r="O30" s="24">
        <v>0</v>
      </c>
      <c r="P30" s="97">
        <v>0</v>
      </c>
      <c r="Q30" s="24">
        <v>0</v>
      </c>
      <c r="R30" s="98">
        <f t="shared" si="11"/>
        <v>30121</v>
      </c>
      <c r="S30" s="16">
        <f t="shared" si="11"/>
        <v>0</v>
      </c>
      <c r="T30" s="98">
        <f t="shared" si="12"/>
        <v>30121</v>
      </c>
    </row>
    <row r="31" spans="1:21" ht="15.5" x14ac:dyDescent="0.35">
      <c r="A31" s="33"/>
      <c r="B31" s="26">
        <v>6</v>
      </c>
      <c r="C31" s="94" t="s">
        <v>18</v>
      </c>
      <c r="D31" s="72">
        <v>0</v>
      </c>
      <c r="E31" s="95">
        <v>0</v>
      </c>
      <c r="F31" s="94"/>
      <c r="G31" s="95">
        <v>0</v>
      </c>
      <c r="H31" s="96">
        <f t="shared" si="10"/>
        <v>0</v>
      </c>
      <c r="I31" s="24">
        <v>0</v>
      </c>
      <c r="J31" s="96">
        <f t="shared" si="13"/>
        <v>0</v>
      </c>
      <c r="K31" s="24">
        <v>0</v>
      </c>
      <c r="L31" s="96">
        <f t="shared" si="14"/>
        <v>0</v>
      </c>
      <c r="M31" s="24">
        <v>0</v>
      </c>
      <c r="N31" s="96">
        <f t="shared" si="15"/>
        <v>0</v>
      </c>
      <c r="O31" s="24">
        <v>0</v>
      </c>
      <c r="P31" s="97">
        <f t="shared" si="16"/>
        <v>0</v>
      </c>
      <c r="Q31" s="24">
        <v>0</v>
      </c>
      <c r="R31" s="98">
        <f t="shared" si="11"/>
        <v>0</v>
      </c>
      <c r="S31" s="16">
        <f t="shared" si="11"/>
        <v>0</v>
      </c>
      <c r="T31" s="98">
        <f t="shared" si="12"/>
        <v>0</v>
      </c>
    </row>
    <row r="32" spans="1:21" ht="15.5" x14ac:dyDescent="0.35">
      <c r="A32" s="33"/>
      <c r="B32" s="26">
        <v>7</v>
      </c>
      <c r="C32" s="94" t="s">
        <v>85</v>
      </c>
      <c r="D32" s="72">
        <v>0</v>
      </c>
      <c r="E32" s="95">
        <v>0</v>
      </c>
      <c r="F32" s="94"/>
      <c r="G32" s="95">
        <v>0</v>
      </c>
      <c r="H32" s="96">
        <f t="shared" si="10"/>
        <v>0</v>
      </c>
      <c r="I32" s="24">
        <v>0</v>
      </c>
      <c r="J32" s="96">
        <f t="shared" si="13"/>
        <v>0</v>
      </c>
      <c r="K32" s="24">
        <v>0</v>
      </c>
      <c r="L32" s="96">
        <f t="shared" si="14"/>
        <v>0</v>
      </c>
      <c r="M32" s="24">
        <v>0</v>
      </c>
      <c r="N32" s="96">
        <f t="shared" si="15"/>
        <v>0</v>
      </c>
      <c r="O32" s="24">
        <v>0</v>
      </c>
      <c r="P32" s="97">
        <f t="shared" si="16"/>
        <v>0</v>
      </c>
      <c r="Q32" s="24">
        <v>0</v>
      </c>
      <c r="R32" s="98">
        <f t="shared" si="11"/>
        <v>0</v>
      </c>
      <c r="S32" s="16">
        <f t="shared" si="11"/>
        <v>0</v>
      </c>
      <c r="T32" s="98">
        <f t="shared" si="12"/>
        <v>0</v>
      </c>
    </row>
    <row r="33" spans="1:21" ht="15.5" x14ac:dyDescent="0.35">
      <c r="A33" s="33"/>
      <c r="B33" s="26">
        <v>8</v>
      </c>
      <c r="C33" s="94" t="s">
        <v>85</v>
      </c>
      <c r="D33" s="72">
        <v>0</v>
      </c>
      <c r="E33" s="95">
        <v>0</v>
      </c>
      <c r="F33" s="94"/>
      <c r="G33" s="95">
        <v>0</v>
      </c>
      <c r="H33" s="96">
        <f t="shared" si="10"/>
        <v>0</v>
      </c>
      <c r="I33" s="24">
        <v>0</v>
      </c>
      <c r="J33" s="96">
        <f t="shared" si="13"/>
        <v>0</v>
      </c>
      <c r="K33" s="24">
        <v>0</v>
      </c>
      <c r="L33" s="96">
        <f t="shared" si="14"/>
        <v>0</v>
      </c>
      <c r="M33" s="24">
        <v>0</v>
      </c>
      <c r="N33" s="96">
        <f t="shared" si="15"/>
        <v>0</v>
      </c>
      <c r="O33" s="24">
        <v>0</v>
      </c>
      <c r="P33" s="97">
        <f t="shared" si="16"/>
        <v>0</v>
      </c>
      <c r="Q33" s="24">
        <v>0</v>
      </c>
      <c r="R33" s="98">
        <f t="shared" si="11"/>
        <v>0</v>
      </c>
      <c r="S33" s="16">
        <f t="shared" si="11"/>
        <v>0</v>
      </c>
      <c r="T33" s="98">
        <f t="shared" si="12"/>
        <v>0</v>
      </c>
    </row>
    <row r="34" spans="1:21" ht="15.5" x14ac:dyDescent="0.35">
      <c r="A34" s="33"/>
      <c r="B34" s="26">
        <v>9</v>
      </c>
      <c r="C34" s="94" t="s">
        <v>83</v>
      </c>
      <c r="D34" s="72">
        <v>0</v>
      </c>
      <c r="E34" s="95">
        <v>0</v>
      </c>
      <c r="F34" s="94"/>
      <c r="G34" s="95">
        <v>0</v>
      </c>
      <c r="H34" s="96">
        <f t="shared" si="10"/>
        <v>0</v>
      </c>
      <c r="I34" s="24">
        <v>0</v>
      </c>
      <c r="J34" s="96">
        <f t="shared" si="13"/>
        <v>0</v>
      </c>
      <c r="K34" s="24">
        <v>0</v>
      </c>
      <c r="L34" s="96">
        <f t="shared" si="14"/>
        <v>0</v>
      </c>
      <c r="M34" s="24">
        <v>0</v>
      </c>
      <c r="N34" s="96">
        <f t="shared" si="15"/>
        <v>0</v>
      </c>
      <c r="O34" s="24">
        <v>0</v>
      </c>
      <c r="P34" s="97">
        <f t="shared" si="16"/>
        <v>0</v>
      </c>
      <c r="Q34" s="24">
        <v>0</v>
      </c>
      <c r="R34" s="98">
        <f t="shared" si="11"/>
        <v>0</v>
      </c>
      <c r="S34" s="16">
        <f t="shared" si="11"/>
        <v>0</v>
      </c>
      <c r="T34" s="98">
        <f t="shared" si="12"/>
        <v>0</v>
      </c>
    </row>
    <row r="35" spans="1:21" ht="15.5" x14ac:dyDescent="0.35">
      <c r="A35" s="33"/>
      <c r="B35" s="26">
        <v>10</v>
      </c>
      <c r="C35" s="94" t="s">
        <v>83</v>
      </c>
      <c r="D35" s="72">
        <v>0</v>
      </c>
      <c r="E35" s="95">
        <v>0</v>
      </c>
      <c r="F35" s="94"/>
      <c r="G35" s="95">
        <v>0</v>
      </c>
      <c r="H35" s="96">
        <f t="shared" si="10"/>
        <v>0</v>
      </c>
      <c r="I35" s="24">
        <v>0</v>
      </c>
      <c r="J35" s="96">
        <f t="shared" si="13"/>
        <v>0</v>
      </c>
      <c r="K35" s="24">
        <v>0</v>
      </c>
      <c r="L35" s="96">
        <f t="shared" si="14"/>
        <v>0</v>
      </c>
      <c r="M35" s="24">
        <v>0</v>
      </c>
      <c r="N35" s="96">
        <f t="shared" si="15"/>
        <v>0</v>
      </c>
      <c r="O35" s="24">
        <v>0</v>
      </c>
      <c r="P35" s="97">
        <f t="shared" si="16"/>
        <v>0</v>
      </c>
      <c r="Q35" s="24">
        <v>0</v>
      </c>
      <c r="R35" s="98">
        <f t="shared" si="11"/>
        <v>0</v>
      </c>
      <c r="S35" s="16">
        <f t="shared" si="11"/>
        <v>0</v>
      </c>
      <c r="T35" s="98">
        <f t="shared" si="12"/>
        <v>0</v>
      </c>
    </row>
    <row r="36" spans="1:21" ht="15.5" x14ac:dyDescent="0.35">
      <c r="A36" s="33"/>
      <c r="B36" s="26">
        <v>11</v>
      </c>
      <c r="C36" s="94" t="s">
        <v>84</v>
      </c>
      <c r="D36" s="72">
        <v>0</v>
      </c>
      <c r="E36" s="95">
        <v>0</v>
      </c>
      <c r="F36" s="94"/>
      <c r="G36" s="95">
        <v>0</v>
      </c>
      <c r="H36" s="96">
        <f t="shared" si="10"/>
        <v>0</v>
      </c>
      <c r="I36" s="24">
        <v>0</v>
      </c>
      <c r="J36" s="96">
        <f t="shared" si="13"/>
        <v>0</v>
      </c>
      <c r="K36" s="24">
        <v>0</v>
      </c>
      <c r="L36" s="96">
        <f t="shared" si="14"/>
        <v>0</v>
      </c>
      <c r="M36" s="24">
        <v>0</v>
      </c>
      <c r="N36" s="96">
        <f t="shared" si="15"/>
        <v>0</v>
      </c>
      <c r="O36" s="24">
        <v>0</v>
      </c>
      <c r="P36" s="97">
        <f t="shared" si="16"/>
        <v>0</v>
      </c>
      <c r="Q36" s="24">
        <v>0</v>
      </c>
      <c r="R36" s="98">
        <f t="shared" si="11"/>
        <v>0</v>
      </c>
      <c r="S36" s="16">
        <f t="shared" si="11"/>
        <v>0</v>
      </c>
      <c r="T36" s="98">
        <f t="shared" si="12"/>
        <v>0</v>
      </c>
    </row>
    <row r="37" spans="1:21" ht="15.5" x14ac:dyDescent="0.35">
      <c r="A37" s="33"/>
      <c r="B37" s="26">
        <v>12</v>
      </c>
      <c r="C37" s="94" t="s">
        <v>84</v>
      </c>
      <c r="D37" s="72">
        <v>0</v>
      </c>
      <c r="E37" s="95">
        <v>0</v>
      </c>
      <c r="F37" s="94"/>
      <c r="G37" s="95">
        <v>0</v>
      </c>
      <c r="H37" s="96">
        <f t="shared" si="10"/>
        <v>0</v>
      </c>
      <c r="I37" s="24">
        <v>0</v>
      </c>
      <c r="J37" s="96">
        <f t="shared" si="13"/>
        <v>0</v>
      </c>
      <c r="K37" s="24">
        <v>0</v>
      </c>
      <c r="L37" s="96">
        <f t="shared" si="14"/>
        <v>0</v>
      </c>
      <c r="M37" s="24">
        <v>0</v>
      </c>
      <c r="N37" s="96">
        <f t="shared" si="15"/>
        <v>0</v>
      </c>
      <c r="O37" s="24">
        <v>0</v>
      </c>
      <c r="P37" s="97">
        <f t="shared" si="16"/>
        <v>0</v>
      </c>
      <c r="Q37" s="24">
        <v>0</v>
      </c>
      <c r="R37" s="98">
        <f t="shared" si="11"/>
        <v>0</v>
      </c>
      <c r="S37" s="16">
        <f t="shared" si="11"/>
        <v>0</v>
      </c>
      <c r="T37" s="98">
        <f t="shared" si="12"/>
        <v>0</v>
      </c>
    </row>
    <row r="38" spans="1:21" x14ac:dyDescent="0.25">
      <c r="A38" s="26"/>
      <c r="B38" s="26"/>
      <c r="C38" s="42"/>
      <c r="D38" s="31"/>
      <c r="E38" s="31"/>
      <c r="F38" s="31"/>
      <c r="G38" s="31"/>
      <c r="H38" s="48"/>
      <c r="I38" s="48"/>
      <c r="J38" s="48"/>
      <c r="K38" s="48"/>
      <c r="L38" s="48"/>
      <c r="M38" s="48"/>
      <c r="N38" s="48"/>
      <c r="O38" s="48"/>
      <c r="P38" s="48"/>
      <c r="Q38" s="48"/>
      <c r="R38" s="18"/>
      <c r="S38" s="18"/>
      <c r="T38" s="19"/>
    </row>
    <row r="39" spans="1:21" s="10" customFormat="1" ht="15.5" x14ac:dyDescent="0.35">
      <c r="A39" s="49"/>
      <c r="B39" s="49"/>
      <c r="C39" s="28" t="s">
        <v>19</v>
      </c>
      <c r="D39" s="50"/>
      <c r="E39" s="50"/>
      <c r="F39" s="50"/>
      <c r="G39" s="50"/>
      <c r="H39" s="39">
        <f t="shared" ref="H39:Q39" si="17">+H14+H25</f>
        <v>65437.72</v>
      </c>
      <c r="I39" s="113">
        <f t="shared" si="17"/>
        <v>0</v>
      </c>
      <c r="J39" s="114">
        <f t="shared" si="17"/>
        <v>67401</v>
      </c>
      <c r="K39" s="113">
        <f t="shared" si="17"/>
        <v>0</v>
      </c>
      <c r="L39" s="114">
        <f t="shared" si="17"/>
        <v>69423</v>
      </c>
      <c r="M39" s="113">
        <f t="shared" si="17"/>
        <v>0</v>
      </c>
      <c r="N39" s="114">
        <f t="shared" si="17"/>
        <v>71505</v>
      </c>
      <c r="O39" s="113">
        <f t="shared" si="17"/>
        <v>0</v>
      </c>
      <c r="P39" s="114">
        <f>+P14+P25</f>
        <v>0</v>
      </c>
      <c r="Q39" s="113">
        <f t="shared" si="17"/>
        <v>0</v>
      </c>
      <c r="R39" s="115">
        <f>SUM(H39+J39+L39+N39+P39)</f>
        <v>273766.71999999997</v>
      </c>
      <c r="S39" s="15">
        <f>SUM(I39+K39+M39+O39+Q39)</f>
        <v>0</v>
      </c>
      <c r="T39" s="116">
        <f>SUM(R39+S39)</f>
        <v>273766.71999999997</v>
      </c>
      <c r="U39" s="2"/>
    </row>
    <row r="40" spans="1:21" ht="15.5" x14ac:dyDescent="0.35">
      <c r="A40" s="26"/>
      <c r="B40" s="26"/>
      <c r="C40" s="26"/>
      <c r="D40" s="31"/>
      <c r="E40" s="31"/>
      <c r="F40" s="31"/>
      <c r="G40" s="31"/>
      <c r="H40" s="46"/>
      <c r="I40" s="46"/>
      <c r="J40" s="46"/>
      <c r="K40" s="46"/>
      <c r="L40" s="46"/>
      <c r="M40" s="46"/>
      <c r="N40" s="46"/>
      <c r="O40" s="46"/>
      <c r="P40" s="46"/>
      <c r="Q40" s="46"/>
      <c r="R40" s="20"/>
      <c r="S40" s="20"/>
      <c r="T40" s="17"/>
      <c r="U40" s="2"/>
    </row>
    <row r="41" spans="1:21" ht="15.5" x14ac:dyDescent="0.35">
      <c r="A41" s="33" t="s">
        <v>20</v>
      </c>
      <c r="B41" s="34"/>
      <c r="C41" s="35" t="s">
        <v>21</v>
      </c>
      <c r="D41" s="31" t="s">
        <v>22</v>
      </c>
      <c r="E41" s="31"/>
      <c r="F41" s="31"/>
      <c r="G41" s="31"/>
      <c r="H41" s="36">
        <f t="shared" ref="H41:Q41" si="18">SUM(H42:H62)</f>
        <v>5593</v>
      </c>
      <c r="I41" s="37">
        <f t="shared" si="18"/>
        <v>0</v>
      </c>
      <c r="J41" s="36">
        <f t="shared" si="18"/>
        <v>5761</v>
      </c>
      <c r="K41" s="37">
        <f t="shared" si="18"/>
        <v>0</v>
      </c>
      <c r="L41" s="36">
        <f t="shared" si="18"/>
        <v>5934</v>
      </c>
      <c r="M41" s="37">
        <f t="shared" si="18"/>
        <v>0</v>
      </c>
      <c r="N41" s="36">
        <f t="shared" si="18"/>
        <v>6112</v>
      </c>
      <c r="O41" s="37">
        <f t="shared" si="18"/>
        <v>0</v>
      </c>
      <c r="P41" s="39">
        <v>0</v>
      </c>
      <c r="Q41" s="37">
        <f t="shared" si="18"/>
        <v>0</v>
      </c>
      <c r="R41" s="14">
        <f>SUM(H41+J41+L41+N41+P41)</f>
        <v>23400</v>
      </c>
      <c r="S41" s="15">
        <f>SUM(I41+K41+M41+O41+Q41)</f>
        <v>0</v>
      </c>
      <c r="T41" s="14">
        <f>SUM(R41+S41)</f>
        <v>23400</v>
      </c>
    </row>
    <row r="42" spans="1:21" ht="15.5" x14ac:dyDescent="0.35">
      <c r="A42" s="33"/>
      <c r="B42" s="26"/>
      <c r="C42" s="94" t="str">
        <f>+C15</f>
        <v>James Lathrop</v>
      </c>
      <c r="D42" s="101">
        <v>0.27300000000000002</v>
      </c>
      <c r="E42" s="101"/>
      <c r="F42" s="95"/>
      <c r="G42" s="95"/>
      <c r="H42" s="96">
        <f>ROUND(D42*H15,0)</f>
        <v>1484</v>
      </c>
      <c r="I42" s="24">
        <f>ROUND(D42*I15,0)</f>
        <v>0</v>
      </c>
      <c r="J42" s="96">
        <f>ROUND(D42*J15,0)</f>
        <v>1529</v>
      </c>
      <c r="K42" s="24">
        <f>ROUND(D42*K15,0)</f>
        <v>0</v>
      </c>
      <c r="L42" s="96">
        <f>ROUND(D42*L15,0)</f>
        <v>1575</v>
      </c>
      <c r="M42" s="24">
        <f>ROUND(D42*M15,0)</f>
        <v>0</v>
      </c>
      <c r="N42" s="96">
        <f>ROUND(D42*N15,0)</f>
        <v>1622</v>
      </c>
      <c r="O42" s="25">
        <f>ROUND(D42*O15,0)</f>
        <v>0</v>
      </c>
      <c r="P42" s="97">
        <f>ROUND(D42*P15,0)</f>
        <v>0</v>
      </c>
      <c r="Q42" s="25">
        <f>ROUND(D42*Q15,0)</f>
        <v>0</v>
      </c>
      <c r="R42" s="98">
        <f t="shared" ref="R42:S62" si="19">SUM(H42+J42+L42+N42+P42)</f>
        <v>6210</v>
      </c>
      <c r="S42" s="16">
        <f t="shared" si="19"/>
        <v>0</v>
      </c>
      <c r="T42" s="98">
        <f t="shared" ref="T42:T62" si="20">SUM(R42+S42)</f>
        <v>6210</v>
      </c>
      <c r="U42" s="2"/>
    </row>
    <row r="43" spans="1:21" ht="15.5" x14ac:dyDescent="0.35">
      <c r="A43" s="33"/>
      <c r="B43" s="26"/>
      <c r="C43" s="94">
        <f>+C16</f>
        <v>0</v>
      </c>
      <c r="D43" s="338">
        <v>0.27300000000000002</v>
      </c>
      <c r="E43" s="101"/>
      <c r="F43" s="95"/>
      <c r="G43" s="95"/>
      <c r="H43" s="96">
        <f t="shared" ref="H43:H50" si="21">ROUND(D43*H16,0)</f>
        <v>0</v>
      </c>
      <c r="I43" s="24">
        <f t="shared" ref="I43:I50" si="22">ROUND(D43*I16,0)</f>
        <v>0</v>
      </c>
      <c r="J43" s="96">
        <f t="shared" ref="J43:J50" si="23">ROUND(D43*J16,0)</f>
        <v>0</v>
      </c>
      <c r="K43" s="24">
        <f t="shared" ref="K43:K50" si="24">ROUND(D43*K16,0)</f>
        <v>0</v>
      </c>
      <c r="L43" s="96">
        <f t="shared" ref="L43:L50" si="25">ROUND(D43*L16,0)</f>
        <v>0</v>
      </c>
      <c r="M43" s="24">
        <f t="shared" ref="M43:M50" si="26">ROUND(D43*M16,0)</f>
        <v>0</v>
      </c>
      <c r="N43" s="96">
        <f t="shared" ref="N43:N50" si="27">ROUND(D43*N16,0)</f>
        <v>0</v>
      </c>
      <c r="O43" s="25">
        <f t="shared" ref="O43:O50" si="28">ROUND(D43*O16,0)</f>
        <v>0</v>
      </c>
      <c r="P43" s="97">
        <f t="shared" ref="P43:P50" si="29">ROUND(D43*P16,0)</f>
        <v>0</v>
      </c>
      <c r="Q43" s="25">
        <f t="shared" ref="Q43:Q50" si="30">ROUND(D43*Q16,0)</f>
        <v>0</v>
      </c>
      <c r="R43" s="98">
        <f t="shared" si="19"/>
        <v>0</v>
      </c>
      <c r="S43" s="16">
        <f t="shared" si="19"/>
        <v>0</v>
      </c>
      <c r="T43" s="98">
        <f t="shared" si="20"/>
        <v>0</v>
      </c>
      <c r="U43" s="2"/>
    </row>
    <row r="44" spans="1:21" ht="15.5" x14ac:dyDescent="0.35">
      <c r="A44" s="33"/>
      <c r="B44" s="26"/>
      <c r="C44" s="94">
        <f>+C17</f>
        <v>0</v>
      </c>
      <c r="D44" s="338">
        <v>0.27300000000000002</v>
      </c>
      <c r="E44" s="101"/>
      <c r="F44" s="95"/>
      <c r="G44" s="95"/>
      <c r="H44" s="96">
        <f t="shared" si="21"/>
        <v>0</v>
      </c>
      <c r="I44" s="24">
        <f t="shared" si="22"/>
        <v>0</v>
      </c>
      <c r="J44" s="96">
        <f t="shared" si="23"/>
        <v>0</v>
      </c>
      <c r="K44" s="24">
        <f t="shared" si="24"/>
        <v>0</v>
      </c>
      <c r="L44" s="96">
        <f t="shared" si="25"/>
        <v>0</v>
      </c>
      <c r="M44" s="24">
        <f t="shared" si="26"/>
        <v>0</v>
      </c>
      <c r="N44" s="96">
        <f t="shared" si="27"/>
        <v>0</v>
      </c>
      <c r="O44" s="25">
        <f t="shared" si="28"/>
        <v>0</v>
      </c>
      <c r="P44" s="97">
        <f t="shared" si="29"/>
        <v>0</v>
      </c>
      <c r="Q44" s="25">
        <f t="shared" si="30"/>
        <v>0</v>
      </c>
      <c r="R44" s="98">
        <f t="shared" si="19"/>
        <v>0</v>
      </c>
      <c r="S44" s="16">
        <f t="shared" si="19"/>
        <v>0</v>
      </c>
      <c r="T44" s="98">
        <f t="shared" si="20"/>
        <v>0</v>
      </c>
      <c r="U44" s="2"/>
    </row>
    <row r="45" spans="1:21" ht="15.5" x14ac:dyDescent="0.35">
      <c r="A45" s="33"/>
      <c r="B45" s="26"/>
      <c r="C45" s="94">
        <f>+C18</f>
        <v>0</v>
      </c>
      <c r="D45" s="338">
        <v>0.27300000000000002</v>
      </c>
      <c r="E45" s="101"/>
      <c r="F45" s="95"/>
      <c r="G45" s="95"/>
      <c r="H45" s="96">
        <f t="shared" si="21"/>
        <v>0</v>
      </c>
      <c r="I45" s="24">
        <f t="shared" si="22"/>
        <v>0</v>
      </c>
      <c r="J45" s="96">
        <f t="shared" si="23"/>
        <v>0</v>
      </c>
      <c r="K45" s="24">
        <f t="shared" si="24"/>
        <v>0</v>
      </c>
      <c r="L45" s="96">
        <f t="shared" si="25"/>
        <v>0</v>
      </c>
      <c r="M45" s="24">
        <f t="shared" si="26"/>
        <v>0</v>
      </c>
      <c r="N45" s="96">
        <f t="shared" si="27"/>
        <v>0</v>
      </c>
      <c r="O45" s="25">
        <f t="shared" si="28"/>
        <v>0</v>
      </c>
      <c r="P45" s="97">
        <f t="shared" si="29"/>
        <v>0</v>
      </c>
      <c r="Q45" s="25">
        <f t="shared" si="30"/>
        <v>0</v>
      </c>
      <c r="R45" s="98">
        <f t="shared" si="19"/>
        <v>0</v>
      </c>
      <c r="S45" s="16">
        <f t="shared" si="19"/>
        <v>0</v>
      </c>
      <c r="T45" s="98">
        <f t="shared" si="20"/>
        <v>0</v>
      </c>
      <c r="U45" s="2"/>
    </row>
    <row r="46" spans="1:21" ht="15.5" x14ac:dyDescent="0.35">
      <c r="A46" s="33"/>
      <c r="B46" s="26"/>
      <c r="C46" s="94">
        <f>+C19</f>
        <v>0</v>
      </c>
      <c r="D46" s="338">
        <v>0.27300000000000002</v>
      </c>
      <c r="E46" s="101"/>
      <c r="F46" s="95"/>
      <c r="G46" s="95"/>
      <c r="H46" s="96">
        <f t="shared" si="21"/>
        <v>0</v>
      </c>
      <c r="I46" s="24">
        <f t="shared" si="22"/>
        <v>0</v>
      </c>
      <c r="J46" s="96">
        <f t="shared" si="23"/>
        <v>0</v>
      </c>
      <c r="K46" s="24">
        <f t="shared" si="24"/>
        <v>0</v>
      </c>
      <c r="L46" s="96">
        <f t="shared" si="25"/>
        <v>0</v>
      </c>
      <c r="M46" s="24">
        <f t="shared" si="26"/>
        <v>0</v>
      </c>
      <c r="N46" s="96">
        <f t="shared" si="27"/>
        <v>0</v>
      </c>
      <c r="O46" s="25">
        <f t="shared" si="28"/>
        <v>0</v>
      </c>
      <c r="P46" s="97">
        <f t="shared" si="29"/>
        <v>0</v>
      </c>
      <c r="Q46" s="25">
        <f t="shared" si="30"/>
        <v>0</v>
      </c>
      <c r="R46" s="98">
        <f t="shared" si="19"/>
        <v>0</v>
      </c>
      <c r="S46" s="16">
        <f t="shared" si="19"/>
        <v>0</v>
      </c>
      <c r="T46" s="98">
        <f t="shared" si="20"/>
        <v>0</v>
      </c>
    </row>
    <row r="47" spans="1:21" ht="15.5" x14ac:dyDescent="0.35">
      <c r="A47" s="33"/>
      <c r="B47" s="26"/>
      <c r="C47" s="94">
        <f>C20</f>
        <v>0</v>
      </c>
      <c r="D47" s="338">
        <v>0.27300000000000002</v>
      </c>
      <c r="E47" s="101"/>
      <c r="F47" s="95"/>
      <c r="G47" s="95"/>
      <c r="H47" s="96">
        <f t="shared" si="21"/>
        <v>0</v>
      </c>
      <c r="I47" s="24">
        <f t="shared" si="22"/>
        <v>0</v>
      </c>
      <c r="J47" s="96">
        <f t="shared" si="23"/>
        <v>0</v>
      </c>
      <c r="K47" s="24">
        <f t="shared" si="24"/>
        <v>0</v>
      </c>
      <c r="L47" s="96">
        <f t="shared" si="25"/>
        <v>0</v>
      </c>
      <c r="M47" s="24">
        <f t="shared" si="26"/>
        <v>0</v>
      </c>
      <c r="N47" s="96">
        <f t="shared" si="27"/>
        <v>0</v>
      </c>
      <c r="O47" s="25">
        <f t="shared" si="28"/>
        <v>0</v>
      </c>
      <c r="P47" s="97">
        <f t="shared" si="29"/>
        <v>0</v>
      </c>
      <c r="Q47" s="25">
        <f t="shared" si="30"/>
        <v>0</v>
      </c>
      <c r="R47" s="98">
        <f t="shared" si="19"/>
        <v>0</v>
      </c>
      <c r="S47" s="16">
        <f t="shared" si="19"/>
        <v>0</v>
      </c>
      <c r="T47" s="98">
        <f t="shared" si="20"/>
        <v>0</v>
      </c>
    </row>
    <row r="48" spans="1:21" ht="15.5" x14ac:dyDescent="0.35">
      <c r="A48" s="33"/>
      <c r="B48" s="26"/>
      <c r="C48" s="94">
        <f>C21</f>
        <v>0</v>
      </c>
      <c r="D48" s="338">
        <v>0.27300000000000002</v>
      </c>
      <c r="E48" s="101"/>
      <c r="F48" s="95"/>
      <c r="G48" s="95"/>
      <c r="H48" s="96">
        <f>ROUND(D48*H21,0)</f>
        <v>0</v>
      </c>
      <c r="I48" s="24">
        <f>ROUND(D48*I21,0)</f>
        <v>0</v>
      </c>
      <c r="J48" s="96">
        <f t="shared" si="23"/>
        <v>0</v>
      </c>
      <c r="K48" s="24">
        <f t="shared" si="24"/>
        <v>0</v>
      </c>
      <c r="L48" s="96">
        <f t="shared" si="25"/>
        <v>0</v>
      </c>
      <c r="M48" s="24">
        <f t="shared" si="26"/>
        <v>0</v>
      </c>
      <c r="N48" s="96">
        <f t="shared" si="27"/>
        <v>0</v>
      </c>
      <c r="O48" s="25">
        <f t="shared" si="28"/>
        <v>0</v>
      </c>
      <c r="P48" s="97">
        <f t="shared" si="29"/>
        <v>0</v>
      </c>
      <c r="Q48" s="25">
        <f t="shared" si="30"/>
        <v>0</v>
      </c>
      <c r="R48" s="98">
        <f t="shared" si="19"/>
        <v>0</v>
      </c>
      <c r="S48" s="16">
        <f t="shared" si="19"/>
        <v>0</v>
      </c>
      <c r="T48" s="98">
        <f t="shared" si="20"/>
        <v>0</v>
      </c>
    </row>
    <row r="49" spans="1:21" ht="15.5" x14ac:dyDescent="0.35">
      <c r="A49" s="33"/>
      <c r="B49" s="26"/>
      <c r="C49" s="94">
        <f>C22</f>
        <v>0</v>
      </c>
      <c r="D49" s="338">
        <v>0.27300000000000002</v>
      </c>
      <c r="E49" s="101"/>
      <c r="F49" s="95"/>
      <c r="G49" s="95"/>
      <c r="H49" s="96">
        <f t="shared" si="21"/>
        <v>0</v>
      </c>
      <c r="I49" s="24">
        <f t="shared" si="22"/>
        <v>0</v>
      </c>
      <c r="J49" s="96">
        <f t="shared" si="23"/>
        <v>0</v>
      </c>
      <c r="K49" s="24">
        <f t="shared" si="24"/>
        <v>0</v>
      </c>
      <c r="L49" s="96">
        <f t="shared" si="25"/>
        <v>0</v>
      </c>
      <c r="M49" s="24">
        <f t="shared" si="26"/>
        <v>0</v>
      </c>
      <c r="N49" s="96">
        <f t="shared" si="27"/>
        <v>0</v>
      </c>
      <c r="O49" s="25">
        <f t="shared" si="28"/>
        <v>0</v>
      </c>
      <c r="P49" s="97">
        <f t="shared" si="29"/>
        <v>0</v>
      </c>
      <c r="Q49" s="25">
        <f t="shared" si="30"/>
        <v>0</v>
      </c>
      <c r="R49" s="98">
        <f t="shared" si="19"/>
        <v>0</v>
      </c>
      <c r="S49" s="16">
        <f t="shared" si="19"/>
        <v>0</v>
      </c>
      <c r="T49" s="98">
        <f t="shared" si="20"/>
        <v>0</v>
      </c>
    </row>
    <row r="50" spans="1:21" ht="15.5" x14ac:dyDescent="0.35">
      <c r="A50" s="33"/>
      <c r="B50" s="26"/>
      <c r="C50" s="94">
        <f>C23</f>
        <v>0</v>
      </c>
      <c r="D50" s="338">
        <v>0.27300000000000002</v>
      </c>
      <c r="E50" s="101"/>
      <c r="F50" s="95"/>
      <c r="G50" s="95"/>
      <c r="H50" s="96">
        <f t="shared" si="21"/>
        <v>0</v>
      </c>
      <c r="I50" s="24">
        <f t="shared" si="22"/>
        <v>0</v>
      </c>
      <c r="J50" s="96">
        <f t="shared" si="23"/>
        <v>0</v>
      </c>
      <c r="K50" s="24">
        <f t="shared" si="24"/>
        <v>0</v>
      </c>
      <c r="L50" s="96">
        <f t="shared" si="25"/>
        <v>0</v>
      </c>
      <c r="M50" s="24">
        <f t="shared" si="26"/>
        <v>0</v>
      </c>
      <c r="N50" s="96">
        <f t="shared" si="27"/>
        <v>0</v>
      </c>
      <c r="O50" s="25">
        <f t="shared" si="28"/>
        <v>0</v>
      </c>
      <c r="P50" s="97">
        <f t="shared" si="29"/>
        <v>0</v>
      </c>
      <c r="Q50" s="25">
        <f t="shared" si="30"/>
        <v>0</v>
      </c>
      <c r="R50" s="98">
        <f t="shared" si="19"/>
        <v>0</v>
      </c>
      <c r="S50" s="16">
        <f t="shared" si="19"/>
        <v>0</v>
      </c>
      <c r="T50" s="98">
        <f t="shared" si="20"/>
        <v>0</v>
      </c>
    </row>
    <row r="51" spans="1:21" ht="15.5" x14ac:dyDescent="0.35">
      <c r="A51" s="33"/>
      <c r="B51" s="26"/>
      <c r="C51" s="94" t="str">
        <f t="shared" ref="C51:C56" si="31">+C26</f>
        <v>Post Doc</v>
      </c>
      <c r="D51" s="138">
        <v>0.32300000000000001</v>
      </c>
      <c r="E51" s="101"/>
      <c r="F51" s="95"/>
      <c r="G51" s="95"/>
      <c r="H51" s="96">
        <f>ROUND(D51*H26,0)</f>
        <v>0</v>
      </c>
      <c r="I51" s="24">
        <f>ROUND(D51*I26,0)</f>
        <v>0</v>
      </c>
      <c r="J51" s="96">
        <f>ROUND(D51*J26,0)</f>
        <v>0</v>
      </c>
      <c r="K51" s="24">
        <f>ROUND(D51*K26,0)</f>
        <v>0</v>
      </c>
      <c r="L51" s="96">
        <f>ROUND(D51*L26,0)</f>
        <v>0</v>
      </c>
      <c r="M51" s="24">
        <f>ROUND(D51*M26,0)</f>
        <v>0</v>
      </c>
      <c r="N51" s="96">
        <f>ROUND(D51*N26,0)</f>
        <v>0</v>
      </c>
      <c r="O51" s="25">
        <f>ROUND(D51*O26,0)</f>
        <v>0</v>
      </c>
      <c r="P51" s="97">
        <f>ROUND(D51*P26,0)</f>
        <v>0</v>
      </c>
      <c r="Q51" s="25">
        <f>ROUND(D51*Q26,0)</f>
        <v>0</v>
      </c>
      <c r="R51" s="98">
        <f t="shared" si="19"/>
        <v>0</v>
      </c>
      <c r="S51" s="16">
        <f t="shared" si="19"/>
        <v>0</v>
      </c>
      <c r="T51" s="98">
        <f t="shared" si="20"/>
        <v>0</v>
      </c>
    </row>
    <row r="52" spans="1:21" ht="15.5" x14ac:dyDescent="0.35">
      <c r="A52" s="33"/>
      <c r="B52" s="26"/>
      <c r="C52" s="94" t="str">
        <f t="shared" si="31"/>
        <v>Post Doc</v>
      </c>
      <c r="D52" s="138">
        <v>0.32300000000000001</v>
      </c>
      <c r="E52" s="101"/>
      <c r="F52" s="95"/>
      <c r="G52" s="95"/>
      <c r="H52" s="96">
        <f t="shared" ref="H52:H61" si="32">ROUND(D52*H27,0)</f>
        <v>0</v>
      </c>
      <c r="I52" s="24">
        <f t="shared" ref="I52:I62" si="33">ROUND(D52*I27,0)</f>
        <v>0</v>
      </c>
      <c r="J52" s="96">
        <f t="shared" ref="J52:J62" si="34">ROUND(D52*J27,0)</f>
        <v>0</v>
      </c>
      <c r="K52" s="24">
        <f t="shared" ref="K52:K62" si="35">ROUND(D52*K27,0)</f>
        <v>0</v>
      </c>
      <c r="L52" s="96">
        <f t="shared" ref="L52:L62" si="36">ROUND(D52*L27,0)</f>
        <v>0</v>
      </c>
      <c r="M52" s="24">
        <f t="shared" ref="M52:M62" si="37">ROUND(D52*M27,0)</f>
        <v>0</v>
      </c>
      <c r="N52" s="96">
        <f t="shared" ref="N52:N62" si="38">ROUND(D52*N27,0)</f>
        <v>0</v>
      </c>
      <c r="O52" s="25">
        <f t="shared" ref="O52:O62" si="39">ROUND(D52*O27,0)</f>
        <v>0</v>
      </c>
      <c r="P52" s="97">
        <f t="shared" ref="P52:P62" si="40">ROUND(D52*P27,0)</f>
        <v>0</v>
      </c>
      <c r="Q52" s="25">
        <f t="shared" ref="Q52:Q62" si="41">ROUND(D52*Q27,0)</f>
        <v>0</v>
      </c>
      <c r="R52" s="98">
        <f t="shared" si="19"/>
        <v>0</v>
      </c>
      <c r="S52" s="16">
        <f t="shared" si="19"/>
        <v>0</v>
      </c>
      <c r="T52" s="98">
        <f t="shared" si="20"/>
        <v>0</v>
      </c>
    </row>
    <row r="53" spans="1:21" s="6" customFormat="1" ht="15.75" customHeight="1" x14ac:dyDescent="0.25">
      <c r="A53" s="26"/>
      <c r="B53" s="26"/>
      <c r="C53" s="70" t="str">
        <f t="shared" si="31"/>
        <v>Research Asst-Halftime</v>
      </c>
      <c r="D53" s="138">
        <v>7.6999999999999999E-2</v>
      </c>
      <c r="E53" s="101"/>
      <c r="F53" s="101"/>
      <c r="G53" s="95"/>
      <c r="H53" s="96">
        <f t="shared" si="32"/>
        <v>4066</v>
      </c>
      <c r="I53" s="24">
        <f t="shared" si="33"/>
        <v>0</v>
      </c>
      <c r="J53" s="96">
        <f t="shared" si="34"/>
        <v>4188</v>
      </c>
      <c r="K53" s="24">
        <f t="shared" si="35"/>
        <v>0</v>
      </c>
      <c r="L53" s="96">
        <f t="shared" si="36"/>
        <v>4313</v>
      </c>
      <c r="M53" s="24">
        <f t="shared" si="37"/>
        <v>0</v>
      </c>
      <c r="N53" s="96">
        <f t="shared" si="38"/>
        <v>4443</v>
      </c>
      <c r="O53" s="25">
        <f t="shared" si="39"/>
        <v>0</v>
      </c>
      <c r="P53" s="97">
        <v>0</v>
      </c>
      <c r="Q53" s="25">
        <f t="shared" si="41"/>
        <v>0</v>
      </c>
      <c r="R53" s="98">
        <f t="shared" si="19"/>
        <v>17010</v>
      </c>
      <c r="S53" s="16">
        <f t="shared" si="19"/>
        <v>0</v>
      </c>
      <c r="T53" s="98">
        <f t="shared" si="20"/>
        <v>17010</v>
      </c>
      <c r="U53" s="1"/>
    </row>
    <row r="54" spans="1:21" ht="15.75" customHeight="1" x14ac:dyDescent="0.25">
      <c r="A54" s="26"/>
      <c r="B54" s="26"/>
      <c r="C54" s="100" t="str">
        <f t="shared" si="31"/>
        <v>Research Asst-Halftime</v>
      </c>
      <c r="D54" s="150">
        <v>7.6999999999999999E-2</v>
      </c>
      <c r="E54" s="101"/>
      <c r="F54" s="95"/>
      <c r="G54" s="70"/>
      <c r="H54" s="96">
        <f t="shared" si="32"/>
        <v>0</v>
      </c>
      <c r="I54" s="24">
        <f t="shared" si="33"/>
        <v>0</v>
      </c>
      <c r="J54" s="96">
        <f t="shared" si="34"/>
        <v>0</v>
      </c>
      <c r="K54" s="24">
        <f t="shared" si="35"/>
        <v>0</v>
      </c>
      <c r="L54" s="96">
        <f t="shared" si="36"/>
        <v>0</v>
      </c>
      <c r="M54" s="24">
        <f t="shared" si="37"/>
        <v>0</v>
      </c>
      <c r="N54" s="96">
        <f t="shared" si="38"/>
        <v>0</v>
      </c>
      <c r="O54" s="25">
        <f t="shared" si="39"/>
        <v>0</v>
      </c>
      <c r="P54" s="97">
        <f t="shared" si="40"/>
        <v>0</v>
      </c>
      <c r="Q54" s="25">
        <f t="shared" si="41"/>
        <v>0</v>
      </c>
      <c r="R54" s="98">
        <f t="shared" si="19"/>
        <v>0</v>
      </c>
      <c r="S54" s="16">
        <f t="shared" si="19"/>
        <v>0</v>
      </c>
      <c r="T54" s="98">
        <f t="shared" si="20"/>
        <v>0</v>
      </c>
      <c r="U54" s="5"/>
    </row>
    <row r="55" spans="1:21" ht="15.75" customHeight="1" x14ac:dyDescent="0.25">
      <c r="A55" s="26"/>
      <c r="B55" s="26"/>
      <c r="C55" s="100" t="str">
        <f t="shared" si="31"/>
        <v>Hourly Undergraduate student</v>
      </c>
      <c r="D55" s="138">
        <v>6.0000000000000001E-3</v>
      </c>
      <c r="E55" s="101"/>
      <c r="F55" s="95"/>
      <c r="G55" s="70"/>
      <c r="H55" s="96">
        <f t="shared" si="32"/>
        <v>43</v>
      </c>
      <c r="I55" s="24">
        <f t="shared" si="33"/>
        <v>0</v>
      </c>
      <c r="J55" s="96">
        <f t="shared" si="34"/>
        <v>44</v>
      </c>
      <c r="K55" s="24">
        <f t="shared" si="35"/>
        <v>0</v>
      </c>
      <c r="L55" s="96">
        <f t="shared" si="36"/>
        <v>46</v>
      </c>
      <c r="M55" s="24">
        <f t="shared" si="37"/>
        <v>0</v>
      </c>
      <c r="N55" s="96">
        <f t="shared" si="38"/>
        <v>47</v>
      </c>
      <c r="O55" s="25">
        <f t="shared" si="39"/>
        <v>0</v>
      </c>
      <c r="P55" s="97">
        <v>0</v>
      </c>
      <c r="Q55" s="25">
        <f t="shared" si="41"/>
        <v>0</v>
      </c>
      <c r="R55" s="98">
        <f t="shared" si="19"/>
        <v>180</v>
      </c>
      <c r="S55" s="16">
        <f t="shared" si="19"/>
        <v>0</v>
      </c>
      <c r="T55" s="98">
        <f t="shared" si="20"/>
        <v>180</v>
      </c>
    </row>
    <row r="56" spans="1:21" ht="15.75" customHeight="1" x14ac:dyDescent="0.25">
      <c r="A56" s="26"/>
      <c r="B56" s="26"/>
      <c r="C56" s="100" t="str">
        <f t="shared" si="31"/>
        <v>Hourly Undergraduate student</v>
      </c>
      <c r="D56" s="102">
        <v>6.0000000000000001E-3</v>
      </c>
      <c r="E56" s="102"/>
      <c r="F56" s="70"/>
      <c r="G56" s="70"/>
      <c r="H56" s="96">
        <f t="shared" si="32"/>
        <v>0</v>
      </c>
      <c r="I56" s="24">
        <f t="shared" si="33"/>
        <v>0</v>
      </c>
      <c r="J56" s="96">
        <f t="shared" si="34"/>
        <v>0</v>
      </c>
      <c r="K56" s="24">
        <f t="shared" si="35"/>
        <v>0</v>
      </c>
      <c r="L56" s="96">
        <f t="shared" si="36"/>
        <v>0</v>
      </c>
      <c r="M56" s="24">
        <f t="shared" si="37"/>
        <v>0</v>
      </c>
      <c r="N56" s="96">
        <f t="shared" si="38"/>
        <v>0</v>
      </c>
      <c r="O56" s="25">
        <f t="shared" si="39"/>
        <v>0</v>
      </c>
      <c r="P56" s="97">
        <f t="shared" si="40"/>
        <v>0</v>
      </c>
      <c r="Q56" s="25">
        <f t="shared" si="41"/>
        <v>0</v>
      </c>
      <c r="R56" s="98">
        <f t="shared" si="19"/>
        <v>0</v>
      </c>
      <c r="S56" s="16">
        <f t="shared" si="19"/>
        <v>0</v>
      </c>
      <c r="T56" s="98">
        <f t="shared" si="20"/>
        <v>0</v>
      </c>
    </row>
    <row r="57" spans="1:21" ht="15.75" customHeight="1" x14ac:dyDescent="0.25">
      <c r="A57" s="26"/>
      <c r="B57" s="26"/>
      <c r="C57" s="100" t="str">
        <f t="shared" ref="C57:C62" si="42">+C32</f>
        <v>P&amp;S</v>
      </c>
      <c r="D57" s="102">
        <v>0.34499999999999997</v>
      </c>
      <c r="E57" s="102"/>
      <c r="F57" s="70"/>
      <c r="G57" s="70"/>
      <c r="H57" s="96">
        <f t="shared" si="32"/>
        <v>0</v>
      </c>
      <c r="I57" s="24">
        <f t="shared" si="33"/>
        <v>0</v>
      </c>
      <c r="J57" s="96">
        <f>ROUND(D57*J32,0)</f>
        <v>0</v>
      </c>
      <c r="K57" s="24">
        <f t="shared" si="35"/>
        <v>0</v>
      </c>
      <c r="L57" s="96">
        <f t="shared" si="36"/>
        <v>0</v>
      </c>
      <c r="M57" s="24">
        <f t="shared" si="37"/>
        <v>0</v>
      </c>
      <c r="N57" s="96">
        <f t="shared" si="38"/>
        <v>0</v>
      </c>
      <c r="O57" s="25">
        <f t="shared" si="39"/>
        <v>0</v>
      </c>
      <c r="P57" s="97">
        <f t="shared" si="40"/>
        <v>0</v>
      </c>
      <c r="Q57" s="25">
        <f t="shared" si="41"/>
        <v>0</v>
      </c>
      <c r="R57" s="98">
        <f t="shared" si="19"/>
        <v>0</v>
      </c>
      <c r="S57" s="16">
        <f t="shared" si="19"/>
        <v>0</v>
      </c>
      <c r="T57" s="98">
        <f t="shared" si="20"/>
        <v>0</v>
      </c>
      <c r="U57" s="2"/>
    </row>
    <row r="58" spans="1:21" ht="15.75" customHeight="1" x14ac:dyDescent="0.25">
      <c r="A58" s="26"/>
      <c r="B58" s="26"/>
      <c r="C58" s="100" t="str">
        <f t="shared" si="42"/>
        <v>P&amp;S</v>
      </c>
      <c r="D58" s="102">
        <v>0.34499999999999997</v>
      </c>
      <c r="E58" s="102"/>
      <c r="F58" s="70"/>
      <c r="G58" s="70"/>
      <c r="H58" s="96">
        <f t="shared" si="32"/>
        <v>0</v>
      </c>
      <c r="I58" s="24">
        <f t="shared" si="33"/>
        <v>0</v>
      </c>
      <c r="J58" s="96">
        <f t="shared" si="34"/>
        <v>0</v>
      </c>
      <c r="K58" s="24">
        <f t="shared" si="35"/>
        <v>0</v>
      </c>
      <c r="L58" s="96">
        <f t="shared" si="36"/>
        <v>0</v>
      </c>
      <c r="M58" s="24">
        <f t="shared" si="37"/>
        <v>0</v>
      </c>
      <c r="N58" s="96">
        <f t="shared" si="38"/>
        <v>0</v>
      </c>
      <c r="O58" s="25">
        <f t="shared" si="39"/>
        <v>0</v>
      </c>
      <c r="P58" s="97">
        <f t="shared" si="40"/>
        <v>0</v>
      </c>
      <c r="Q58" s="25">
        <f t="shared" si="41"/>
        <v>0</v>
      </c>
      <c r="R58" s="98">
        <f t="shared" si="19"/>
        <v>0</v>
      </c>
      <c r="S58" s="16">
        <f t="shared" si="19"/>
        <v>0</v>
      </c>
      <c r="T58" s="98">
        <f t="shared" si="20"/>
        <v>0</v>
      </c>
      <c r="U58" s="2"/>
    </row>
    <row r="59" spans="1:21" ht="15.75" customHeight="1" x14ac:dyDescent="0.25">
      <c r="A59" s="26"/>
      <c r="B59" s="26"/>
      <c r="C59" s="100" t="str">
        <f t="shared" si="42"/>
        <v>Secretarial/Clerical</v>
      </c>
      <c r="D59" s="102">
        <v>0.441</v>
      </c>
      <c r="E59" s="102"/>
      <c r="F59" s="70"/>
      <c r="G59" s="70"/>
      <c r="H59" s="96">
        <f t="shared" si="32"/>
        <v>0</v>
      </c>
      <c r="I59" s="24">
        <f t="shared" si="33"/>
        <v>0</v>
      </c>
      <c r="J59" s="96">
        <f t="shared" si="34"/>
        <v>0</v>
      </c>
      <c r="K59" s="24">
        <f t="shared" si="35"/>
        <v>0</v>
      </c>
      <c r="L59" s="96">
        <f t="shared" si="36"/>
        <v>0</v>
      </c>
      <c r="M59" s="24">
        <f t="shared" si="37"/>
        <v>0</v>
      </c>
      <c r="N59" s="96">
        <f t="shared" si="38"/>
        <v>0</v>
      </c>
      <c r="O59" s="25">
        <f t="shared" si="39"/>
        <v>0</v>
      </c>
      <c r="P59" s="97">
        <f t="shared" si="40"/>
        <v>0</v>
      </c>
      <c r="Q59" s="25">
        <f t="shared" si="41"/>
        <v>0</v>
      </c>
      <c r="R59" s="98">
        <f t="shared" si="19"/>
        <v>0</v>
      </c>
      <c r="S59" s="16">
        <f t="shared" si="19"/>
        <v>0</v>
      </c>
      <c r="T59" s="98">
        <f t="shared" si="20"/>
        <v>0</v>
      </c>
      <c r="U59" s="2"/>
    </row>
    <row r="60" spans="1:21" ht="15.75" customHeight="1" x14ac:dyDescent="0.25">
      <c r="A60" s="26"/>
      <c r="B60" s="26"/>
      <c r="C60" s="100" t="str">
        <f t="shared" si="42"/>
        <v>Secretarial/Clerical</v>
      </c>
      <c r="D60" s="102">
        <v>0.441</v>
      </c>
      <c r="E60" s="102"/>
      <c r="F60" s="70"/>
      <c r="G60" s="70"/>
      <c r="H60" s="96">
        <f t="shared" si="32"/>
        <v>0</v>
      </c>
      <c r="I60" s="24">
        <f t="shared" si="33"/>
        <v>0</v>
      </c>
      <c r="J60" s="96">
        <f t="shared" si="34"/>
        <v>0</v>
      </c>
      <c r="K60" s="24">
        <f t="shared" si="35"/>
        <v>0</v>
      </c>
      <c r="L60" s="96">
        <f t="shared" si="36"/>
        <v>0</v>
      </c>
      <c r="M60" s="24">
        <f t="shared" si="37"/>
        <v>0</v>
      </c>
      <c r="N60" s="96">
        <f t="shared" si="38"/>
        <v>0</v>
      </c>
      <c r="O60" s="25">
        <f t="shared" si="39"/>
        <v>0</v>
      </c>
      <c r="P60" s="97">
        <f t="shared" si="40"/>
        <v>0</v>
      </c>
      <c r="Q60" s="25">
        <f t="shared" si="41"/>
        <v>0</v>
      </c>
      <c r="R60" s="98">
        <f t="shared" si="19"/>
        <v>0</v>
      </c>
      <c r="S60" s="16">
        <f t="shared" si="19"/>
        <v>0</v>
      </c>
      <c r="T60" s="98">
        <f t="shared" si="20"/>
        <v>0</v>
      </c>
      <c r="U60" s="2"/>
    </row>
    <row r="61" spans="1:21" ht="15.75" customHeight="1" x14ac:dyDescent="0.25">
      <c r="A61" s="26"/>
      <c r="B61" s="26"/>
      <c r="C61" s="100" t="str">
        <f t="shared" si="42"/>
        <v>Non-Student Hourly</v>
      </c>
      <c r="D61" s="102">
        <v>9.1999999999999998E-2</v>
      </c>
      <c r="E61" s="102"/>
      <c r="F61" s="70"/>
      <c r="G61" s="70"/>
      <c r="H61" s="96">
        <f t="shared" si="32"/>
        <v>0</v>
      </c>
      <c r="I61" s="24">
        <f t="shared" si="33"/>
        <v>0</v>
      </c>
      <c r="J61" s="96">
        <f t="shared" si="34"/>
        <v>0</v>
      </c>
      <c r="K61" s="24">
        <f t="shared" si="35"/>
        <v>0</v>
      </c>
      <c r="L61" s="96">
        <f t="shared" si="36"/>
        <v>0</v>
      </c>
      <c r="M61" s="24">
        <f t="shared" si="37"/>
        <v>0</v>
      </c>
      <c r="N61" s="96">
        <f t="shared" si="38"/>
        <v>0</v>
      </c>
      <c r="O61" s="25">
        <f t="shared" si="39"/>
        <v>0</v>
      </c>
      <c r="P61" s="97">
        <f t="shared" si="40"/>
        <v>0</v>
      </c>
      <c r="Q61" s="25">
        <f t="shared" si="41"/>
        <v>0</v>
      </c>
      <c r="R61" s="98">
        <f t="shared" si="19"/>
        <v>0</v>
      </c>
      <c r="S61" s="16">
        <f t="shared" si="19"/>
        <v>0</v>
      </c>
      <c r="T61" s="98">
        <f t="shared" si="20"/>
        <v>0</v>
      </c>
      <c r="U61" s="2"/>
    </row>
    <row r="62" spans="1:21" ht="15.75" customHeight="1" x14ac:dyDescent="0.25">
      <c r="A62" s="26"/>
      <c r="B62" s="26"/>
      <c r="C62" s="100" t="str">
        <f t="shared" si="42"/>
        <v>Non-Student Hourly</v>
      </c>
      <c r="D62" s="102">
        <v>9.1999999999999998E-2</v>
      </c>
      <c r="E62" s="102"/>
      <c r="F62" s="70"/>
      <c r="G62" s="70"/>
      <c r="H62" s="96">
        <f>ROUND(D62*H37,0)</f>
        <v>0</v>
      </c>
      <c r="I62" s="24">
        <f t="shared" si="33"/>
        <v>0</v>
      </c>
      <c r="J62" s="96">
        <f t="shared" si="34"/>
        <v>0</v>
      </c>
      <c r="K62" s="24">
        <f t="shared" si="35"/>
        <v>0</v>
      </c>
      <c r="L62" s="96">
        <f t="shared" si="36"/>
        <v>0</v>
      </c>
      <c r="M62" s="24">
        <f t="shared" si="37"/>
        <v>0</v>
      </c>
      <c r="N62" s="96">
        <f t="shared" si="38"/>
        <v>0</v>
      </c>
      <c r="O62" s="25">
        <f t="shared" si="39"/>
        <v>0</v>
      </c>
      <c r="P62" s="97">
        <f t="shared" si="40"/>
        <v>0</v>
      </c>
      <c r="Q62" s="25">
        <f t="shared" si="41"/>
        <v>0</v>
      </c>
      <c r="R62" s="98">
        <f t="shared" si="19"/>
        <v>0</v>
      </c>
      <c r="S62" s="16">
        <f t="shared" si="19"/>
        <v>0</v>
      </c>
      <c r="T62" s="98">
        <f t="shared" si="20"/>
        <v>0</v>
      </c>
      <c r="U62" s="2"/>
    </row>
    <row r="63" spans="1:21" x14ac:dyDescent="0.25">
      <c r="A63" s="26"/>
      <c r="B63" s="26"/>
      <c r="C63" s="42"/>
      <c r="D63" s="52"/>
      <c r="E63" s="52"/>
      <c r="F63" s="26"/>
      <c r="G63" s="26"/>
      <c r="H63" s="48"/>
      <c r="I63" s="48"/>
      <c r="J63" s="48"/>
      <c r="K63" s="48"/>
      <c r="L63" s="48"/>
      <c r="M63" s="48"/>
      <c r="N63" s="48"/>
      <c r="O63" s="48"/>
      <c r="P63" s="48"/>
      <c r="Q63" s="48"/>
      <c r="R63" s="18"/>
      <c r="S63" s="18"/>
      <c r="T63" s="21"/>
      <c r="U63" s="2"/>
    </row>
    <row r="64" spans="1:21" s="10" customFormat="1" ht="15.5" x14ac:dyDescent="0.35">
      <c r="A64" s="49"/>
      <c r="B64" s="49"/>
      <c r="C64" s="53" t="s">
        <v>23</v>
      </c>
      <c r="D64" s="54"/>
      <c r="E64" s="54"/>
      <c r="F64" s="55"/>
      <c r="G64" s="49"/>
      <c r="H64" s="39">
        <f>H39+H41</f>
        <v>71030.720000000001</v>
      </c>
      <c r="I64" s="113">
        <f>I39+I41</f>
        <v>0</v>
      </c>
      <c r="J64" s="114">
        <f t="shared" ref="J64:Q64" si="43">J39+J41</f>
        <v>73162</v>
      </c>
      <c r="K64" s="113">
        <f t="shared" si="43"/>
        <v>0</v>
      </c>
      <c r="L64" s="114">
        <f t="shared" si="43"/>
        <v>75357</v>
      </c>
      <c r="M64" s="113">
        <f t="shared" si="43"/>
        <v>0</v>
      </c>
      <c r="N64" s="114">
        <f t="shared" si="43"/>
        <v>77617</v>
      </c>
      <c r="O64" s="113">
        <f t="shared" si="43"/>
        <v>0</v>
      </c>
      <c r="P64" s="114">
        <f t="shared" si="43"/>
        <v>0</v>
      </c>
      <c r="Q64" s="113">
        <f t="shared" si="43"/>
        <v>0</v>
      </c>
      <c r="R64" s="115">
        <f>SUM(H64+J64+L64+N64+P64)</f>
        <v>297166.71999999997</v>
      </c>
      <c r="S64" s="15">
        <f>SUM(I64+K64+M64+O64+Q64)</f>
        <v>0</v>
      </c>
      <c r="T64" s="116">
        <f>SUM(R64+S64)</f>
        <v>297166.71999999997</v>
      </c>
      <c r="U64" s="1"/>
    </row>
    <row r="65" spans="1:21" s="6" customFormat="1" ht="15.5" x14ac:dyDescent="0.35">
      <c r="A65" s="43"/>
      <c r="B65" s="43"/>
      <c r="C65" s="56"/>
      <c r="D65" s="57"/>
      <c r="E65" s="57"/>
      <c r="F65" s="58"/>
      <c r="G65" s="43"/>
      <c r="H65" s="59"/>
      <c r="I65" s="59"/>
      <c r="J65" s="59"/>
      <c r="K65" s="59"/>
      <c r="L65" s="59"/>
      <c r="M65" s="59"/>
      <c r="N65" s="59"/>
      <c r="O65" s="59"/>
      <c r="P65" s="59"/>
      <c r="Q65" s="59"/>
      <c r="R65" s="22"/>
      <c r="S65" s="22"/>
      <c r="T65" s="22"/>
      <c r="U65" s="11"/>
    </row>
    <row r="66" spans="1:21" ht="15.5" x14ac:dyDescent="0.35">
      <c r="A66" s="54" t="s">
        <v>24</v>
      </c>
      <c r="B66" s="26"/>
      <c r="C66" s="53" t="s">
        <v>68</v>
      </c>
      <c r="D66" s="61"/>
      <c r="E66" s="61"/>
      <c r="F66" s="41"/>
      <c r="G66" s="26"/>
      <c r="H66" s="36">
        <f t="shared" ref="H66:Q66" si="44">SUM(H67:H68)</f>
        <v>0</v>
      </c>
      <c r="I66" s="37">
        <f t="shared" si="44"/>
        <v>0</v>
      </c>
      <c r="J66" s="36">
        <f t="shared" si="44"/>
        <v>0</v>
      </c>
      <c r="K66" s="37">
        <f t="shared" si="44"/>
        <v>0</v>
      </c>
      <c r="L66" s="36">
        <f t="shared" si="44"/>
        <v>0</v>
      </c>
      <c r="M66" s="37">
        <f t="shared" si="44"/>
        <v>0</v>
      </c>
      <c r="N66" s="36">
        <f t="shared" si="44"/>
        <v>0</v>
      </c>
      <c r="O66" s="37">
        <f t="shared" si="44"/>
        <v>0</v>
      </c>
      <c r="P66" s="36">
        <f t="shared" si="44"/>
        <v>0</v>
      </c>
      <c r="Q66" s="37">
        <f t="shared" si="44"/>
        <v>0</v>
      </c>
      <c r="R66" s="14">
        <f t="shared" ref="R66:S68" si="45">SUM(H66+J66+L66+N66+P66)</f>
        <v>0</v>
      </c>
      <c r="S66" s="15">
        <f t="shared" si="45"/>
        <v>0</v>
      </c>
      <c r="T66" s="14">
        <f>SUM(R66+S66)</f>
        <v>0</v>
      </c>
      <c r="U66" s="5"/>
    </row>
    <row r="67" spans="1:21" s="6" customFormat="1" ht="15.5" x14ac:dyDescent="0.35">
      <c r="A67" s="62"/>
      <c r="B67" s="43"/>
      <c r="C67" s="94">
        <v>1</v>
      </c>
      <c r="D67" s="103"/>
      <c r="E67" s="103"/>
      <c r="F67" s="95"/>
      <c r="G67" s="70"/>
      <c r="H67" s="96"/>
      <c r="I67" s="63"/>
      <c r="J67" s="96"/>
      <c r="K67" s="63"/>
      <c r="L67" s="96"/>
      <c r="M67" s="63"/>
      <c r="N67" s="96"/>
      <c r="O67" s="63"/>
      <c r="P67" s="104"/>
      <c r="Q67" s="63"/>
      <c r="R67" s="98">
        <f t="shared" si="45"/>
        <v>0</v>
      </c>
      <c r="S67" s="16">
        <f t="shared" si="45"/>
        <v>0</v>
      </c>
      <c r="T67" s="98">
        <f>SUM(R67+S67)</f>
        <v>0</v>
      </c>
      <c r="U67" s="1"/>
    </row>
    <row r="68" spans="1:21" s="6" customFormat="1" ht="13" x14ac:dyDescent="0.3">
      <c r="A68" s="43"/>
      <c r="B68" s="43"/>
      <c r="C68" s="94">
        <v>2</v>
      </c>
      <c r="D68" s="105"/>
      <c r="E68" s="105"/>
      <c r="F68" s="95"/>
      <c r="G68" s="70"/>
      <c r="H68" s="96"/>
      <c r="I68" s="63"/>
      <c r="J68" s="96"/>
      <c r="K68" s="63"/>
      <c r="L68" s="96"/>
      <c r="M68" s="63"/>
      <c r="N68" s="96"/>
      <c r="O68" s="63"/>
      <c r="P68" s="104"/>
      <c r="Q68" s="63"/>
      <c r="R68" s="98">
        <f t="shared" si="45"/>
        <v>0</v>
      </c>
      <c r="S68" s="16">
        <f t="shared" si="45"/>
        <v>0</v>
      </c>
      <c r="T68" s="98">
        <f>SUM(R68+S68)</f>
        <v>0</v>
      </c>
      <c r="U68" s="5"/>
    </row>
    <row r="69" spans="1:21" s="6" customFormat="1" x14ac:dyDescent="0.25">
      <c r="A69" s="43"/>
      <c r="B69" s="43"/>
      <c r="C69" s="64"/>
      <c r="D69" s="43"/>
      <c r="E69" s="43"/>
      <c r="F69" s="43"/>
      <c r="G69" s="43"/>
      <c r="H69" s="48"/>
      <c r="I69" s="48"/>
      <c r="J69" s="48"/>
      <c r="K69" s="48"/>
      <c r="L69" s="48"/>
      <c r="M69" s="48"/>
      <c r="N69" s="48"/>
      <c r="O69" s="48"/>
      <c r="P69" s="48"/>
      <c r="Q69" s="48"/>
      <c r="R69" s="22"/>
      <c r="S69" s="22"/>
      <c r="T69" s="22"/>
      <c r="U69" s="5"/>
    </row>
    <row r="70" spans="1:21" ht="15.5" x14ac:dyDescent="0.35">
      <c r="A70" s="54" t="s">
        <v>25</v>
      </c>
      <c r="B70" s="34"/>
      <c r="C70" s="35" t="s">
        <v>26</v>
      </c>
      <c r="D70" s="31"/>
      <c r="E70" s="31"/>
      <c r="F70" s="31"/>
      <c r="G70" s="31"/>
      <c r="H70" s="36">
        <f t="shared" ref="H70:Q70" si="46">SUM(H71:H72)</f>
        <v>0</v>
      </c>
      <c r="I70" s="37">
        <f t="shared" si="46"/>
        <v>0</v>
      </c>
      <c r="J70" s="36">
        <f t="shared" si="46"/>
        <v>6442</v>
      </c>
      <c r="K70" s="37">
        <f t="shared" si="46"/>
        <v>0</v>
      </c>
      <c r="L70" s="36">
        <f t="shared" si="46"/>
        <v>6606</v>
      </c>
      <c r="M70" s="37">
        <f t="shared" si="46"/>
        <v>0</v>
      </c>
      <c r="N70" s="36">
        <f t="shared" si="46"/>
        <v>6776</v>
      </c>
      <c r="O70" s="38">
        <f t="shared" si="46"/>
        <v>0</v>
      </c>
      <c r="P70" s="39">
        <f t="shared" si="46"/>
        <v>0</v>
      </c>
      <c r="Q70" s="38">
        <f t="shared" si="46"/>
        <v>0</v>
      </c>
      <c r="R70" s="14">
        <f t="shared" ref="R70:S72" si="47">SUM(H70+J70+L70+N70+P70)</f>
        <v>19824</v>
      </c>
      <c r="S70" s="15">
        <f t="shared" si="47"/>
        <v>0</v>
      </c>
      <c r="T70" s="14">
        <f>SUM(R70+S70)</f>
        <v>19824</v>
      </c>
      <c r="U70" s="5"/>
    </row>
    <row r="71" spans="1:21" ht="15.5" x14ac:dyDescent="0.35">
      <c r="A71" s="33"/>
      <c r="B71" s="26"/>
      <c r="C71" s="94" t="s">
        <v>27</v>
      </c>
      <c r="D71" s="566"/>
      <c r="E71" s="566"/>
      <c r="F71" s="566"/>
      <c r="G71" s="567"/>
      <c r="H71" s="96">
        <f>Yr1TravelDom</f>
        <v>0</v>
      </c>
      <c r="I71" s="24"/>
      <c r="J71" s="96">
        <f>Yr2TravelDom</f>
        <v>2048</v>
      </c>
      <c r="K71" s="24"/>
      <c r="L71" s="96">
        <f>Yr3TravelDom</f>
        <v>2096</v>
      </c>
      <c r="M71" s="24"/>
      <c r="N71" s="96">
        <f>Yr4TravelDom</f>
        <v>2146</v>
      </c>
      <c r="O71" s="25"/>
      <c r="P71" s="97">
        <f>Yr5TravelDom</f>
        <v>0</v>
      </c>
      <c r="Q71" s="25"/>
      <c r="R71" s="98">
        <f t="shared" si="47"/>
        <v>6290</v>
      </c>
      <c r="S71" s="16">
        <f t="shared" si="47"/>
        <v>0</v>
      </c>
      <c r="T71" s="98">
        <f>SUM(R71+S71)</f>
        <v>6290</v>
      </c>
    </row>
    <row r="72" spans="1:21" x14ac:dyDescent="0.25">
      <c r="A72" s="26"/>
      <c r="B72" s="26"/>
      <c r="C72" s="100" t="s">
        <v>28</v>
      </c>
      <c r="D72" s="566"/>
      <c r="E72" s="566"/>
      <c r="F72" s="566"/>
      <c r="G72" s="567"/>
      <c r="H72" s="96">
        <f>Yr1TravelIntl</f>
        <v>0</v>
      </c>
      <c r="I72" s="24"/>
      <c r="J72" s="96">
        <f>Yr2TravelIntl</f>
        <v>4394</v>
      </c>
      <c r="K72" s="24"/>
      <c r="L72" s="96">
        <f>Yr3TravelIntl</f>
        <v>4510</v>
      </c>
      <c r="M72" s="24"/>
      <c r="N72" s="96">
        <f>Yr4TravelIntl</f>
        <v>4630</v>
      </c>
      <c r="O72" s="25"/>
      <c r="P72" s="97">
        <f>Yr5TravelIntl</f>
        <v>0</v>
      </c>
      <c r="Q72" s="25"/>
      <c r="R72" s="98">
        <f t="shared" si="47"/>
        <v>13534</v>
      </c>
      <c r="S72" s="16">
        <f t="shared" si="47"/>
        <v>0</v>
      </c>
      <c r="T72" s="98">
        <f>SUM(R72+S72)</f>
        <v>13534</v>
      </c>
    </row>
    <row r="73" spans="1:21" x14ac:dyDescent="0.25">
      <c r="A73" s="26"/>
      <c r="B73" s="26"/>
      <c r="C73" s="42"/>
      <c r="D73" s="51"/>
      <c r="E73" s="51"/>
      <c r="F73" s="51"/>
      <c r="G73" s="51"/>
      <c r="H73" s="281"/>
      <c r="I73" s="281"/>
      <c r="J73" s="281"/>
      <c r="K73" s="281"/>
      <c r="L73" s="281"/>
      <c r="M73" s="281"/>
      <c r="N73" s="281"/>
      <c r="O73" s="281"/>
      <c r="P73" s="281"/>
      <c r="Q73" s="281"/>
      <c r="R73" s="282"/>
      <c r="S73" s="282"/>
      <c r="T73" s="282"/>
    </row>
    <row r="74" spans="1:21" ht="15.5" x14ac:dyDescent="0.35">
      <c r="A74" s="33" t="s">
        <v>29</v>
      </c>
      <c r="B74" s="26"/>
      <c r="C74" s="461" t="s">
        <v>30</v>
      </c>
      <c r="D74" s="570" t="s">
        <v>279</v>
      </c>
      <c r="E74" s="570"/>
      <c r="F74" s="570"/>
      <c r="G74" s="571"/>
      <c r="H74" s="36">
        <f t="shared" ref="H74:Q74" si="48">SUM(H75:H78)</f>
        <v>0</v>
      </c>
      <c r="I74" s="37">
        <f t="shared" si="48"/>
        <v>0</v>
      </c>
      <c r="J74" s="36">
        <f t="shared" si="48"/>
        <v>0</v>
      </c>
      <c r="K74" s="37">
        <f t="shared" si="48"/>
        <v>0</v>
      </c>
      <c r="L74" s="36">
        <f t="shared" si="48"/>
        <v>0</v>
      </c>
      <c r="M74" s="37">
        <f t="shared" si="48"/>
        <v>0</v>
      </c>
      <c r="N74" s="36">
        <f t="shared" si="48"/>
        <v>0</v>
      </c>
      <c r="O74" s="37">
        <f t="shared" si="48"/>
        <v>0</v>
      </c>
      <c r="P74" s="39">
        <f t="shared" si="48"/>
        <v>0</v>
      </c>
      <c r="Q74" s="37">
        <f t="shared" si="48"/>
        <v>0</v>
      </c>
      <c r="R74" s="14">
        <f>SUM(H74+J74+L74+N74+P74)</f>
        <v>0</v>
      </c>
      <c r="S74" s="15">
        <f>SUM(I74+K74+M74+O74+Q74)</f>
        <v>0</v>
      </c>
      <c r="T74" s="14">
        <f>SUM(R74+S74)</f>
        <v>0</v>
      </c>
    </row>
    <row r="75" spans="1:21" x14ac:dyDescent="0.25">
      <c r="A75" s="26"/>
      <c r="B75" s="26"/>
      <c r="C75" s="94" t="s">
        <v>31</v>
      </c>
      <c r="D75" s="566"/>
      <c r="E75" s="566"/>
      <c r="F75" s="566"/>
      <c r="G75" s="567"/>
      <c r="H75" s="96">
        <v>0</v>
      </c>
      <c r="I75" s="24"/>
      <c r="J75" s="96">
        <v>0</v>
      </c>
      <c r="K75" s="24"/>
      <c r="L75" s="96">
        <v>0</v>
      </c>
      <c r="M75" s="24"/>
      <c r="N75" s="96">
        <v>0</v>
      </c>
      <c r="O75" s="25"/>
      <c r="P75" s="97">
        <v>0</v>
      </c>
      <c r="Q75" s="25"/>
      <c r="R75" s="98">
        <f t="shared" ref="R75:S78" si="49">SUM(H75+J75+L75+N75+P75)</f>
        <v>0</v>
      </c>
      <c r="S75" s="16">
        <f t="shared" si="49"/>
        <v>0</v>
      </c>
      <c r="T75" s="98">
        <f>SUM(R75+S75)</f>
        <v>0</v>
      </c>
    </row>
    <row r="76" spans="1:21" x14ac:dyDescent="0.25">
      <c r="A76" s="26"/>
      <c r="B76" s="26"/>
      <c r="C76" s="106" t="s">
        <v>32</v>
      </c>
      <c r="D76" s="566"/>
      <c r="E76" s="566"/>
      <c r="F76" s="566"/>
      <c r="G76" s="567"/>
      <c r="H76" s="96">
        <v>0</v>
      </c>
      <c r="I76" s="24"/>
      <c r="J76" s="96">
        <v>0</v>
      </c>
      <c r="K76" s="24"/>
      <c r="L76" s="96">
        <v>0</v>
      </c>
      <c r="M76" s="24"/>
      <c r="N76" s="96">
        <v>0</v>
      </c>
      <c r="O76" s="25"/>
      <c r="P76" s="97">
        <v>0</v>
      </c>
      <c r="Q76" s="25"/>
      <c r="R76" s="98">
        <f t="shared" si="49"/>
        <v>0</v>
      </c>
      <c r="S76" s="16">
        <f t="shared" si="49"/>
        <v>0</v>
      </c>
      <c r="T76" s="98">
        <f>SUM(R76+S76)</f>
        <v>0</v>
      </c>
    </row>
    <row r="77" spans="1:21" x14ac:dyDescent="0.25">
      <c r="A77" s="26"/>
      <c r="B77" s="26"/>
      <c r="C77" s="106" t="s">
        <v>62</v>
      </c>
      <c r="D77" s="566"/>
      <c r="E77" s="566"/>
      <c r="F77" s="566"/>
      <c r="G77" s="567"/>
      <c r="H77" s="96">
        <v>0</v>
      </c>
      <c r="I77" s="24"/>
      <c r="J77" s="96">
        <v>0</v>
      </c>
      <c r="K77" s="24"/>
      <c r="L77" s="96">
        <v>0</v>
      </c>
      <c r="M77" s="24"/>
      <c r="N77" s="96">
        <v>0</v>
      </c>
      <c r="O77" s="25"/>
      <c r="P77" s="97">
        <v>0</v>
      </c>
      <c r="Q77" s="25"/>
      <c r="R77" s="98">
        <f t="shared" si="49"/>
        <v>0</v>
      </c>
      <c r="S77" s="16">
        <f t="shared" si="49"/>
        <v>0</v>
      </c>
      <c r="T77" s="98">
        <f>SUM(R77+S77)</f>
        <v>0</v>
      </c>
    </row>
    <row r="78" spans="1:21" x14ac:dyDescent="0.25">
      <c r="A78" s="26"/>
      <c r="B78" s="26"/>
      <c r="C78" s="94" t="s">
        <v>63</v>
      </c>
      <c r="D78" s="101"/>
      <c r="E78" s="101"/>
      <c r="F78" s="101"/>
      <c r="G78" s="101"/>
      <c r="H78" s="96">
        <v>0</v>
      </c>
      <c r="I78" s="24"/>
      <c r="J78" s="96">
        <v>0</v>
      </c>
      <c r="K78" s="24"/>
      <c r="L78" s="96">
        <v>0</v>
      </c>
      <c r="M78" s="24"/>
      <c r="N78" s="96">
        <v>0</v>
      </c>
      <c r="O78" s="25"/>
      <c r="P78" s="97">
        <v>0</v>
      </c>
      <c r="Q78" s="25"/>
      <c r="R78" s="98">
        <f t="shared" si="49"/>
        <v>0</v>
      </c>
      <c r="S78" s="16">
        <f t="shared" si="49"/>
        <v>0</v>
      </c>
      <c r="T78" s="98">
        <f>SUM(R78+S78)</f>
        <v>0</v>
      </c>
    </row>
    <row r="79" spans="1:21" s="6" customFormat="1" x14ac:dyDescent="0.25">
      <c r="A79" s="43"/>
      <c r="B79" s="43"/>
      <c r="C79" s="64"/>
      <c r="D79" s="43"/>
      <c r="E79" s="43"/>
      <c r="F79" s="43"/>
      <c r="G79" s="43"/>
      <c r="H79" s="48"/>
      <c r="I79" s="48"/>
      <c r="J79" s="48"/>
      <c r="K79" s="48"/>
      <c r="L79" s="48"/>
      <c r="M79" s="48"/>
      <c r="N79" s="48"/>
      <c r="O79" s="48"/>
      <c r="P79" s="48"/>
      <c r="Q79" s="48"/>
      <c r="R79" s="22"/>
      <c r="S79" s="22"/>
      <c r="T79" s="22"/>
      <c r="U79" s="1"/>
    </row>
    <row r="80" spans="1:21" ht="15.5" x14ac:dyDescent="0.35">
      <c r="A80" s="33" t="s">
        <v>33</v>
      </c>
      <c r="B80" s="34"/>
      <c r="C80" s="35" t="s">
        <v>34</v>
      </c>
      <c r="D80" s="31"/>
      <c r="E80" s="31"/>
      <c r="F80" s="31"/>
      <c r="G80" s="31"/>
      <c r="H80" s="36">
        <f t="shared" ref="H80:Q80" si="50">SUM(H81:H97)</f>
        <v>21190</v>
      </c>
      <c r="I80" s="37">
        <f t="shared" si="50"/>
        <v>0</v>
      </c>
      <c r="J80" s="36">
        <f t="shared" si="50"/>
        <v>22080</v>
      </c>
      <c r="K80" s="37">
        <f t="shared" si="50"/>
        <v>0</v>
      </c>
      <c r="L80" s="36">
        <f t="shared" si="50"/>
        <v>23007</v>
      </c>
      <c r="M80" s="37">
        <f t="shared" si="50"/>
        <v>0</v>
      </c>
      <c r="N80" s="36">
        <f t="shared" si="50"/>
        <v>23973</v>
      </c>
      <c r="O80" s="37">
        <f t="shared" si="50"/>
        <v>0</v>
      </c>
      <c r="P80" s="39">
        <f t="shared" si="50"/>
        <v>0</v>
      </c>
      <c r="Q80" s="37">
        <f t="shared" si="50"/>
        <v>0</v>
      </c>
      <c r="R80" s="14">
        <f>SUM(H80+J80+L80+N80+P80)</f>
        <v>90250</v>
      </c>
      <c r="S80" s="15">
        <f>SUM(I80+K80+M80+O80+Q80)</f>
        <v>0</v>
      </c>
      <c r="T80" s="14">
        <f>SUM(R80+S80)</f>
        <v>90250</v>
      </c>
      <c r="U80" s="5"/>
    </row>
    <row r="81" spans="1:21" x14ac:dyDescent="0.25">
      <c r="A81" s="26"/>
      <c r="B81" s="26">
        <v>1</v>
      </c>
      <c r="C81" s="107" t="s">
        <v>43</v>
      </c>
      <c r="D81" s="108"/>
      <c r="E81" s="108"/>
      <c r="F81" s="108"/>
      <c r="G81" s="108"/>
      <c r="H81" s="96">
        <v>0</v>
      </c>
      <c r="I81" s="24"/>
      <c r="J81" s="96">
        <v>0</v>
      </c>
      <c r="K81" s="24"/>
      <c r="L81" s="96">
        <v>0</v>
      </c>
      <c r="M81" s="24"/>
      <c r="N81" s="96">
        <v>0</v>
      </c>
      <c r="O81" s="25"/>
      <c r="P81" s="97">
        <v>0</v>
      </c>
      <c r="Q81" s="25"/>
      <c r="R81" s="98">
        <f t="shared" ref="R81:S97" si="51">SUM(H81+J81+L81+N81+P81)</f>
        <v>0</v>
      </c>
      <c r="S81" s="16">
        <f t="shared" si="51"/>
        <v>0</v>
      </c>
      <c r="T81" s="98">
        <f t="shared" ref="T81:T97" si="52">SUM(R81+S81)</f>
        <v>0</v>
      </c>
    </row>
    <row r="82" spans="1:21" x14ac:dyDescent="0.25">
      <c r="A82" s="26"/>
      <c r="B82" s="26">
        <v>2</v>
      </c>
      <c r="C82" s="107" t="s">
        <v>44</v>
      </c>
      <c r="D82" s="70"/>
      <c r="E82" s="70"/>
      <c r="F82" s="70"/>
      <c r="G82" s="70"/>
      <c r="H82" s="96">
        <v>0</v>
      </c>
      <c r="I82" s="24"/>
      <c r="J82" s="96">
        <v>0</v>
      </c>
      <c r="K82" s="24"/>
      <c r="L82" s="96">
        <v>0</v>
      </c>
      <c r="M82" s="24"/>
      <c r="N82" s="96">
        <v>0</v>
      </c>
      <c r="O82" s="25"/>
      <c r="P82" s="97">
        <v>0</v>
      </c>
      <c r="Q82" s="25"/>
      <c r="R82" s="98">
        <f t="shared" si="51"/>
        <v>0</v>
      </c>
      <c r="S82" s="16">
        <f t="shared" si="51"/>
        <v>0</v>
      </c>
      <c r="T82" s="98">
        <f t="shared" si="52"/>
        <v>0</v>
      </c>
    </row>
    <row r="83" spans="1:21" s="142" customFormat="1" x14ac:dyDescent="0.25">
      <c r="A83" s="26"/>
      <c r="B83" s="26">
        <v>3</v>
      </c>
      <c r="C83" s="100" t="s">
        <v>152</v>
      </c>
      <c r="D83" s="70"/>
      <c r="E83" s="70"/>
      <c r="F83" s="70"/>
      <c r="G83" s="70"/>
      <c r="H83" s="96">
        <v>0</v>
      </c>
      <c r="I83" s="24"/>
      <c r="J83" s="96">
        <v>0</v>
      </c>
      <c r="K83" s="24"/>
      <c r="L83" s="96">
        <v>0</v>
      </c>
      <c r="M83" s="24"/>
      <c r="N83" s="96">
        <v>0</v>
      </c>
      <c r="O83" s="25"/>
      <c r="P83" s="97">
        <v>0</v>
      </c>
      <c r="Q83" s="25"/>
      <c r="R83" s="98">
        <f>SUM(H83+J83+L83+N83+P83)</f>
        <v>0</v>
      </c>
      <c r="S83" s="16">
        <f>SUM(I83+K83+M83+O83+Q83)</f>
        <v>0</v>
      </c>
      <c r="T83" s="98">
        <f>SUM(R83+S83)</f>
        <v>0</v>
      </c>
      <c r="U83" s="1"/>
    </row>
    <row r="84" spans="1:21" x14ac:dyDescent="0.25">
      <c r="A84" s="26"/>
      <c r="B84" s="26">
        <v>3</v>
      </c>
      <c r="C84" s="107" t="s">
        <v>45</v>
      </c>
      <c r="D84" s="70"/>
      <c r="E84" s="70"/>
      <c r="F84" s="70"/>
      <c r="G84" s="70"/>
      <c r="H84" s="96">
        <v>0</v>
      </c>
      <c r="I84" s="24"/>
      <c r="J84" s="96">
        <v>0</v>
      </c>
      <c r="K84" s="24"/>
      <c r="L84" s="96">
        <v>0</v>
      </c>
      <c r="M84" s="24"/>
      <c r="N84" s="96">
        <v>0</v>
      </c>
      <c r="O84" s="25"/>
      <c r="P84" s="97">
        <v>0</v>
      </c>
      <c r="Q84" s="25"/>
      <c r="R84" s="98">
        <f t="shared" si="51"/>
        <v>0</v>
      </c>
      <c r="S84" s="16">
        <f t="shared" si="51"/>
        <v>0</v>
      </c>
      <c r="T84" s="98">
        <f t="shared" si="52"/>
        <v>0</v>
      </c>
    </row>
    <row r="85" spans="1:21" x14ac:dyDescent="0.25">
      <c r="A85" s="26"/>
      <c r="B85" s="26">
        <v>4</v>
      </c>
      <c r="C85" s="107" t="s">
        <v>153</v>
      </c>
      <c r="D85" s="70"/>
      <c r="E85" s="70"/>
      <c r="F85" s="70"/>
      <c r="G85" s="70"/>
      <c r="H85" s="96">
        <v>0</v>
      </c>
      <c r="I85" s="24"/>
      <c r="J85" s="96">
        <v>0</v>
      </c>
      <c r="K85" s="24"/>
      <c r="L85" s="96">
        <v>0</v>
      </c>
      <c r="M85" s="24"/>
      <c r="N85" s="96">
        <v>0</v>
      </c>
      <c r="O85" s="25"/>
      <c r="P85" s="97">
        <v>0</v>
      </c>
      <c r="Q85" s="25"/>
      <c r="R85" s="98">
        <f t="shared" si="51"/>
        <v>0</v>
      </c>
      <c r="S85" s="16">
        <f t="shared" si="51"/>
        <v>0</v>
      </c>
      <c r="T85" s="98">
        <f t="shared" si="52"/>
        <v>0</v>
      </c>
    </row>
    <row r="86" spans="1:21" s="142" customFormat="1" x14ac:dyDescent="0.25">
      <c r="A86" s="26"/>
      <c r="B86" s="26">
        <v>4</v>
      </c>
      <c r="C86" s="100" t="s">
        <v>157</v>
      </c>
      <c r="D86" s="70"/>
      <c r="E86" s="70"/>
      <c r="F86" s="70"/>
      <c r="G86" s="70"/>
      <c r="H86" s="96">
        <v>0</v>
      </c>
      <c r="I86" s="24"/>
      <c r="J86" s="96">
        <v>0</v>
      </c>
      <c r="K86" s="24"/>
      <c r="L86" s="96">
        <v>0</v>
      </c>
      <c r="M86" s="24"/>
      <c r="N86" s="96">
        <v>0</v>
      </c>
      <c r="O86" s="25"/>
      <c r="P86" s="97">
        <v>0</v>
      </c>
      <c r="Q86" s="25"/>
      <c r="R86" s="98">
        <f>SUM(H86+J86+L86+N86+P86)</f>
        <v>0</v>
      </c>
      <c r="S86" s="16">
        <f>SUM(I86+K86+M86+O86+Q86)</f>
        <v>0</v>
      </c>
      <c r="T86" s="98">
        <f>SUM(R86+S86)</f>
        <v>0</v>
      </c>
      <c r="U86" s="1"/>
    </row>
    <row r="87" spans="1:21" ht="13" x14ac:dyDescent="0.3">
      <c r="A87" s="26"/>
      <c r="B87" s="26">
        <v>5</v>
      </c>
      <c r="C87" s="94" t="s">
        <v>78</v>
      </c>
      <c r="D87" s="70"/>
      <c r="E87" s="109" t="s">
        <v>70</v>
      </c>
      <c r="F87" s="108"/>
      <c r="G87" s="70"/>
      <c r="H87" s="96">
        <v>0</v>
      </c>
      <c r="I87" s="24"/>
      <c r="J87" s="96">
        <v>0</v>
      </c>
      <c r="K87" s="24"/>
      <c r="L87" s="96">
        <v>0</v>
      </c>
      <c r="M87" s="24"/>
      <c r="N87" s="96">
        <v>0</v>
      </c>
      <c r="O87" s="25"/>
      <c r="P87" s="97">
        <v>0</v>
      </c>
      <c r="Q87" s="25"/>
      <c r="R87" s="98">
        <f t="shared" si="51"/>
        <v>0</v>
      </c>
      <c r="S87" s="16">
        <f t="shared" si="51"/>
        <v>0</v>
      </c>
      <c r="T87" s="98">
        <f t="shared" si="52"/>
        <v>0</v>
      </c>
    </row>
    <row r="88" spans="1:21" ht="13" x14ac:dyDescent="0.3">
      <c r="A88" s="26"/>
      <c r="B88" s="26"/>
      <c r="C88" s="110" t="s">
        <v>76</v>
      </c>
      <c r="D88" s="70"/>
      <c r="E88" s="70"/>
      <c r="F88" s="109"/>
      <c r="G88" s="70"/>
      <c r="H88" s="96">
        <v>0</v>
      </c>
      <c r="I88" s="24"/>
      <c r="J88" s="96">
        <v>0</v>
      </c>
      <c r="K88" s="24"/>
      <c r="L88" s="96">
        <v>0</v>
      </c>
      <c r="M88" s="24"/>
      <c r="N88" s="96">
        <v>0</v>
      </c>
      <c r="O88" s="25"/>
      <c r="P88" s="97">
        <v>0</v>
      </c>
      <c r="Q88" s="25"/>
      <c r="R88" s="98">
        <f t="shared" si="51"/>
        <v>0</v>
      </c>
      <c r="S88" s="16">
        <f t="shared" si="51"/>
        <v>0</v>
      </c>
      <c r="T88" s="98">
        <f t="shared" si="52"/>
        <v>0</v>
      </c>
    </row>
    <row r="89" spans="1:21" ht="13" x14ac:dyDescent="0.3">
      <c r="A89" s="26"/>
      <c r="B89" s="26">
        <v>6</v>
      </c>
      <c r="C89" s="94" t="s">
        <v>77</v>
      </c>
      <c r="D89" s="70"/>
      <c r="E89" s="109" t="s">
        <v>70</v>
      </c>
      <c r="F89" s="71"/>
      <c r="G89" s="70"/>
      <c r="H89" s="96">
        <v>0</v>
      </c>
      <c r="I89" s="24"/>
      <c r="J89" s="96">
        <v>0</v>
      </c>
      <c r="K89" s="24"/>
      <c r="L89" s="96">
        <v>0</v>
      </c>
      <c r="M89" s="24"/>
      <c r="N89" s="96">
        <v>0</v>
      </c>
      <c r="O89" s="25"/>
      <c r="P89" s="97">
        <v>0</v>
      </c>
      <c r="Q89" s="25"/>
      <c r="R89" s="98">
        <f t="shared" si="51"/>
        <v>0</v>
      </c>
      <c r="S89" s="16">
        <f t="shared" si="51"/>
        <v>0</v>
      </c>
      <c r="T89" s="98">
        <f t="shared" si="52"/>
        <v>0</v>
      </c>
    </row>
    <row r="90" spans="1:21" ht="13" x14ac:dyDescent="0.3">
      <c r="A90" s="26"/>
      <c r="B90" s="26"/>
      <c r="C90" s="110" t="s">
        <v>76</v>
      </c>
      <c r="D90" s="70"/>
      <c r="E90" s="70"/>
      <c r="F90" s="109"/>
      <c r="G90" s="70"/>
      <c r="H90" s="96">
        <v>0</v>
      </c>
      <c r="I90" s="24"/>
      <c r="J90" s="96">
        <v>0</v>
      </c>
      <c r="K90" s="24"/>
      <c r="L90" s="96">
        <v>0</v>
      </c>
      <c r="M90" s="24"/>
      <c r="N90" s="96">
        <v>0</v>
      </c>
      <c r="O90" s="25"/>
      <c r="P90" s="97">
        <v>0</v>
      </c>
      <c r="Q90" s="25"/>
      <c r="R90" s="98">
        <f t="shared" si="51"/>
        <v>0</v>
      </c>
      <c r="S90" s="16">
        <f t="shared" si="51"/>
        <v>0</v>
      </c>
      <c r="T90" s="98">
        <f t="shared" si="52"/>
        <v>0</v>
      </c>
    </row>
    <row r="91" spans="1:21" ht="13" customHeight="1" x14ac:dyDescent="0.3">
      <c r="A91" s="26"/>
      <c r="B91" s="26">
        <v>7</v>
      </c>
      <c r="C91" s="100" t="s">
        <v>150</v>
      </c>
      <c r="D91" s="572" t="s">
        <v>280</v>
      </c>
      <c r="E91" s="572"/>
      <c r="F91" s="462" t="s">
        <v>71</v>
      </c>
      <c r="H91" s="98">
        <f>Tuition!K6</f>
        <v>21190</v>
      </c>
      <c r="I91" s="24"/>
      <c r="J91" s="98">
        <f>Tuition!M6</f>
        <v>22080</v>
      </c>
      <c r="K91" s="24"/>
      <c r="L91" s="98">
        <f>Tuition!O6</f>
        <v>23007</v>
      </c>
      <c r="M91" s="24"/>
      <c r="N91" s="98">
        <f>Tuition!Q6</f>
        <v>23973</v>
      </c>
      <c r="O91" s="25"/>
      <c r="P91" s="112">
        <f>Tuition!S6</f>
        <v>0</v>
      </c>
      <c r="Q91" s="25"/>
      <c r="R91" s="98">
        <f t="shared" si="51"/>
        <v>90250</v>
      </c>
      <c r="S91" s="16">
        <f t="shared" si="51"/>
        <v>0</v>
      </c>
      <c r="T91" s="98">
        <f t="shared" si="52"/>
        <v>90250</v>
      </c>
    </row>
    <row r="92" spans="1:21" ht="13" customHeight="1" x14ac:dyDescent="0.3">
      <c r="A92" s="26"/>
      <c r="B92" s="26">
        <v>8</v>
      </c>
      <c r="C92" s="100" t="s">
        <v>148</v>
      </c>
      <c r="D92" s="572"/>
      <c r="E92" s="572"/>
      <c r="F92" s="462" t="s">
        <v>71</v>
      </c>
      <c r="H92" s="98">
        <f>Tuition!K26</f>
        <v>0</v>
      </c>
      <c r="I92" s="24"/>
      <c r="J92" s="98">
        <f>Tuition!M26</f>
        <v>0</v>
      </c>
      <c r="K92" s="24"/>
      <c r="L92" s="98">
        <f>Tuition!O26</f>
        <v>0</v>
      </c>
      <c r="M92" s="24"/>
      <c r="N92" s="98">
        <f>Tuition!Q26</f>
        <v>0</v>
      </c>
      <c r="O92" s="25"/>
      <c r="P92" s="112">
        <f>Tuition!S26</f>
        <v>0</v>
      </c>
      <c r="Q92" s="25"/>
      <c r="R92" s="98">
        <f t="shared" si="51"/>
        <v>0</v>
      </c>
      <c r="S92" s="16">
        <f t="shared" si="51"/>
        <v>0</v>
      </c>
      <c r="T92" s="98">
        <f t="shared" si="52"/>
        <v>0</v>
      </c>
    </row>
    <row r="93" spans="1:21" s="142" customFormat="1" ht="13" customHeight="1" x14ac:dyDescent="0.3">
      <c r="A93" s="26"/>
      <c r="B93" s="26">
        <v>8</v>
      </c>
      <c r="C93" s="100" t="s">
        <v>149</v>
      </c>
      <c r="D93" s="572"/>
      <c r="E93" s="572"/>
      <c r="F93" s="462" t="s">
        <v>71</v>
      </c>
      <c r="H93" s="98">
        <f>Tuition!K46</f>
        <v>0</v>
      </c>
      <c r="I93" s="24"/>
      <c r="J93" s="98">
        <f>Tuition!M46</f>
        <v>0</v>
      </c>
      <c r="K93" s="24"/>
      <c r="L93" s="98">
        <f>Tuition!O46</f>
        <v>0</v>
      </c>
      <c r="M93" s="24"/>
      <c r="N93" s="98">
        <f>Tuition!Q46</f>
        <v>0</v>
      </c>
      <c r="O93" s="25"/>
      <c r="P93" s="112">
        <f>Tuition!S46</f>
        <v>0</v>
      </c>
      <c r="Q93" s="25"/>
      <c r="R93" s="98">
        <f>SUM(H93+J93+L93+N93+P93)</f>
        <v>0</v>
      </c>
      <c r="S93" s="16">
        <f>SUM(I93+K93+M93+O93+Q93)</f>
        <v>0</v>
      </c>
      <c r="T93" s="98">
        <f>SUM(R93+S93)</f>
        <v>0</v>
      </c>
      <c r="U93" s="1"/>
    </row>
    <row r="94" spans="1:21" s="142" customFormat="1" ht="13" customHeight="1" x14ac:dyDescent="0.3">
      <c r="A94" s="26"/>
      <c r="B94" s="26"/>
      <c r="C94" s="100" t="s">
        <v>218</v>
      </c>
      <c r="D94" s="572"/>
      <c r="E94" s="572"/>
      <c r="F94" s="462" t="s">
        <v>71</v>
      </c>
      <c r="H94" s="98">
        <f>Tuition!K67</f>
        <v>0</v>
      </c>
      <c r="I94" s="24"/>
      <c r="J94" s="98">
        <f>Tuition!M67</f>
        <v>0</v>
      </c>
      <c r="K94" s="24"/>
      <c r="L94" s="98">
        <f>Tuition!O67</f>
        <v>0</v>
      </c>
      <c r="M94" s="24"/>
      <c r="N94" s="98">
        <f>Tuition!Q67</f>
        <v>0</v>
      </c>
      <c r="O94" s="25"/>
      <c r="P94" s="112">
        <f>Tuition!S67</f>
        <v>0</v>
      </c>
      <c r="Q94" s="25"/>
      <c r="R94" s="98">
        <f>H94+J94+L94+N94+P94</f>
        <v>0</v>
      </c>
      <c r="S94" s="16">
        <f t="shared" ref="S94:S95" si="53">SUM(I94+K94+M94+O94+Q94)</f>
        <v>0</v>
      </c>
      <c r="T94" s="98">
        <f t="shared" ref="T94:T95" si="54">SUM(R94+S94)</f>
        <v>0</v>
      </c>
      <c r="U94" s="1"/>
    </row>
    <row r="95" spans="1:21" s="142" customFormat="1" ht="13" customHeight="1" x14ac:dyDescent="0.3">
      <c r="A95" s="26"/>
      <c r="B95" s="26"/>
      <c r="C95" s="100" t="s">
        <v>229</v>
      </c>
      <c r="D95" s="573" t="s">
        <v>281</v>
      </c>
      <c r="E95" s="573"/>
      <c r="F95" s="462" t="s">
        <v>71</v>
      </c>
      <c r="H95" s="98">
        <f>Tuition!K88</f>
        <v>0</v>
      </c>
      <c r="I95" s="24"/>
      <c r="J95" s="98">
        <f>Tuition!M88</f>
        <v>0</v>
      </c>
      <c r="K95" s="24"/>
      <c r="L95" s="98">
        <f>Tuition!O88</f>
        <v>0</v>
      </c>
      <c r="M95" s="24"/>
      <c r="N95" s="98">
        <f>Tuition!Q88</f>
        <v>0</v>
      </c>
      <c r="O95" s="25"/>
      <c r="P95" s="112">
        <f>Tuition!S88</f>
        <v>0</v>
      </c>
      <c r="Q95" s="25"/>
      <c r="R95" s="98">
        <f>H95+J95+L95+N95+P95</f>
        <v>0</v>
      </c>
      <c r="S95" s="16">
        <f t="shared" si="53"/>
        <v>0</v>
      </c>
      <c r="T95" s="98">
        <f t="shared" si="54"/>
        <v>0</v>
      </c>
      <c r="U95" s="1"/>
    </row>
    <row r="96" spans="1:21" x14ac:dyDescent="0.25">
      <c r="A96" s="26"/>
      <c r="B96" s="26">
        <v>9</v>
      </c>
      <c r="C96" s="94" t="s">
        <v>69</v>
      </c>
      <c r="D96" s="70"/>
      <c r="E96" s="70"/>
      <c r="F96" s="70"/>
      <c r="G96" s="111"/>
      <c r="H96" s="96">
        <v>0</v>
      </c>
      <c r="I96" s="24"/>
      <c r="J96" s="96">
        <v>0</v>
      </c>
      <c r="K96" s="24"/>
      <c r="L96" s="96">
        <v>0</v>
      </c>
      <c r="M96" s="24"/>
      <c r="N96" s="96">
        <v>0</v>
      </c>
      <c r="O96" s="25"/>
      <c r="P96" s="97">
        <v>0</v>
      </c>
      <c r="Q96" s="25"/>
      <c r="R96" s="98">
        <f>SUM(H96+J96+L96+N96+P96)</f>
        <v>0</v>
      </c>
      <c r="S96" s="16">
        <f t="shared" si="51"/>
        <v>0</v>
      </c>
      <c r="T96" s="98">
        <f t="shared" si="52"/>
        <v>0</v>
      </c>
    </row>
    <row r="97" spans="1:21" x14ac:dyDescent="0.25">
      <c r="A97" s="26"/>
      <c r="B97" s="26">
        <v>10</v>
      </c>
      <c r="C97" s="94" t="s">
        <v>69</v>
      </c>
      <c r="D97" s="70"/>
      <c r="E97" s="70"/>
      <c r="F97" s="70"/>
      <c r="G97" s="111"/>
      <c r="H97" s="96">
        <v>0</v>
      </c>
      <c r="I97" s="24"/>
      <c r="J97" s="96">
        <v>0</v>
      </c>
      <c r="K97" s="24"/>
      <c r="L97" s="96">
        <v>0</v>
      </c>
      <c r="M97" s="24"/>
      <c r="N97" s="96">
        <v>0</v>
      </c>
      <c r="O97" s="25"/>
      <c r="P97" s="97">
        <v>0</v>
      </c>
      <c r="Q97" s="25"/>
      <c r="R97" s="98">
        <f t="shared" si="51"/>
        <v>0</v>
      </c>
      <c r="S97" s="16">
        <f t="shared" si="51"/>
        <v>0</v>
      </c>
      <c r="T97" s="98">
        <f t="shared" si="52"/>
        <v>0</v>
      </c>
      <c r="U97" s="2"/>
    </row>
    <row r="98" spans="1:21" s="6" customFormat="1" x14ac:dyDescent="0.25">
      <c r="A98" s="43"/>
      <c r="B98" s="43"/>
      <c r="C98" s="64"/>
      <c r="D98" s="43"/>
      <c r="E98" s="43"/>
      <c r="F98" s="43"/>
      <c r="G98" s="65"/>
      <c r="H98" s="48"/>
      <c r="I98" s="48"/>
      <c r="J98" s="48"/>
      <c r="K98" s="48"/>
      <c r="L98" s="48"/>
      <c r="M98" s="48"/>
      <c r="N98" s="48"/>
      <c r="O98" s="48"/>
      <c r="P98" s="48"/>
      <c r="Q98" s="48"/>
      <c r="R98" s="22"/>
      <c r="S98" s="22"/>
      <c r="T98" s="22"/>
      <c r="U98" s="2"/>
    </row>
    <row r="99" spans="1:21" ht="15.5" x14ac:dyDescent="0.35">
      <c r="A99" s="26"/>
      <c r="B99" s="26"/>
      <c r="C99" s="53" t="s">
        <v>35</v>
      </c>
      <c r="D99" s="53"/>
      <c r="E99" s="53"/>
      <c r="F99" s="66"/>
      <c r="G99" s="67"/>
      <c r="H99" s="118">
        <f>H64+H66+H70+H74+H80</f>
        <v>92220.72</v>
      </c>
      <c r="I99" s="38">
        <f t="shared" ref="I99:Q99" si="55">I64+I66+I70+I74+I80</f>
        <v>0</v>
      </c>
      <c r="J99" s="118">
        <f t="shared" si="55"/>
        <v>101684</v>
      </c>
      <c r="K99" s="38">
        <f t="shared" si="55"/>
        <v>0</v>
      </c>
      <c r="L99" s="118">
        <f t="shared" si="55"/>
        <v>104970</v>
      </c>
      <c r="M99" s="38">
        <f t="shared" si="55"/>
        <v>0</v>
      </c>
      <c r="N99" s="118">
        <f t="shared" si="55"/>
        <v>108366</v>
      </c>
      <c r="O99" s="38">
        <f t="shared" si="55"/>
        <v>0</v>
      </c>
      <c r="P99" s="118">
        <f t="shared" si="55"/>
        <v>0</v>
      </c>
      <c r="Q99" s="37">
        <f t="shared" si="55"/>
        <v>0</v>
      </c>
      <c r="R99" s="121">
        <f>SUM(H99+J99+L99+N99+P99)</f>
        <v>407240.72</v>
      </c>
      <c r="S99" s="15">
        <f>SUM(I99+K99+M99+O99+Q99)</f>
        <v>0</v>
      </c>
      <c r="T99" s="122">
        <f>SUM(R99+S99)</f>
        <v>407240.72</v>
      </c>
      <c r="U99" s="23"/>
    </row>
    <row r="100" spans="1:21" s="142" customFormat="1" ht="15.5" x14ac:dyDescent="0.35">
      <c r="A100" s="26"/>
      <c r="B100" s="26"/>
      <c r="C100" s="53" t="s">
        <v>282</v>
      </c>
      <c r="D100" s="53"/>
      <c r="E100" s="53"/>
      <c r="F100" s="66"/>
      <c r="G100" s="67"/>
      <c r="H100" s="119">
        <f>H99-H87-H88-H89-H90</f>
        <v>92220.72</v>
      </c>
      <c r="I100" s="37">
        <f>I99-I87-I88-I89-I90</f>
        <v>0</v>
      </c>
      <c r="J100" s="119">
        <f>J99-J87-J88-J89-J90</f>
        <v>101684</v>
      </c>
      <c r="K100" s="37">
        <f t="shared" ref="K100:Q100" si="56">K99-K87-K88-K89-K90</f>
        <v>0</v>
      </c>
      <c r="L100" s="119">
        <f t="shared" si="56"/>
        <v>104970</v>
      </c>
      <c r="M100" s="37">
        <f t="shared" si="56"/>
        <v>0</v>
      </c>
      <c r="N100" s="119">
        <f>N99-N87-N88-N89-N90</f>
        <v>108366</v>
      </c>
      <c r="O100" s="37">
        <f t="shared" si="56"/>
        <v>0</v>
      </c>
      <c r="P100" s="119">
        <f t="shared" si="56"/>
        <v>0</v>
      </c>
      <c r="Q100" s="37">
        <f t="shared" si="56"/>
        <v>0</v>
      </c>
      <c r="R100" s="121">
        <f>SUM(H100+J100+L100+N100+P100)</f>
        <v>407240.72</v>
      </c>
      <c r="S100" s="15">
        <f>SUM(I100+K100+M100+O100+Q100)</f>
        <v>0</v>
      </c>
      <c r="T100" s="122">
        <f>SUM(R100+S100)</f>
        <v>407240.72</v>
      </c>
      <c r="U100" s="23"/>
    </row>
    <row r="101" spans="1:21" s="6" customFormat="1" x14ac:dyDescent="0.25">
      <c r="A101" s="43"/>
      <c r="B101" s="43"/>
      <c r="C101" s="64"/>
      <c r="D101" s="43"/>
      <c r="E101" s="43"/>
      <c r="F101" s="43"/>
      <c r="G101" s="43"/>
      <c r="H101" s="48"/>
      <c r="I101" s="48"/>
      <c r="J101" s="48"/>
      <c r="K101" s="48"/>
      <c r="L101" s="48"/>
      <c r="M101" s="48"/>
      <c r="N101" s="48"/>
      <c r="O101" s="48"/>
      <c r="P101" s="48"/>
      <c r="Q101" s="48"/>
      <c r="R101" s="22"/>
      <c r="S101" s="22"/>
      <c r="T101" s="22"/>
      <c r="U101" s="2"/>
    </row>
    <row r="102" spans="1:21" ht="15.5" x14ac:dyDescent="0.35">
      <c r="A102" s="26"/>
      <c r="B102" s="26"/>
      <c r="C102" s="53" t="s">
        <v>41</v>
      </c>
      <c r="D102" s="53"/>
      <c r="E102" s="53"/>
      <c r="F102" s="68"/>
      <c r="G102" s="49"/>
      <c r="H102" s="118">
        <f>(H99-H66-H74-H86-H88-H90-H91-H92-H93-H94-H95)</f>
        <v>71030.720000000001</v>
      </c>
      <c r="I102" s="38">
        <f t="shared" ref="I102:Q102" si="57">(I99-I66-I74-I86-I88-I90-I91-I92-I93-I94-I95)</f>
        <v>0</v>
      </c>
      <c r="J102" s="118">
        <f t="shared" si="57"/>
        <v>79604</v>
      </c>
      <c r="K102" s="38">
        <f t="shared" si="57"/>
        <v>0</v>
      </c>
      <c r="L102" s="118">
        <f t="shared" si="57"/>
        <v>81963</v>
      </c>
      <c r="M102" s="38">
        <f t="shared" si="57"/>
        <v>0</v>
      </c>
      <c r="N102" s="118">
        <f t="shared" si="57"/>
        <v>84393</v>
      </c>
      <c r="O102" s="38">
        <f t="shared" si="57"/>
        <v>0</v>
      </c>
      <c r="P102" s="118">
        <f t="shared" si="57"/>
        <v>0</v>
      </c>
      <c r="Q102" s="38">
        <f t="shared" si="57"/>
        <v>0</v>
      </c>
      <c r="R102" s="121">
        <f>SUM(H102+J102+L102+N102+P102)</f>
        <v>316990.71999999997</v>
      </c>
      <c r="S102" s="15">
        <f>SUM(I102+K102+M102+O102+Q102)</f>
        <v>0</v>
      </c>
      <c r="T102" s="122">
        <f>SUM(R102+S102)</f>
        <v>316990.71999999997</v>
      </c>
      <c r="U102" s="5"/>
    </row>
    <row r="103" spans="1:21" s="6" customFormat="1" x14ac:dyDescent="0.25">
      <c r="A103" s="43"/>
      <c r="B103" s="43"/>
      <c r="C103" s="100" t="s">
        <v>36</v>
      </c>
      <c r="D103" s="100"/>
      <c r="E103" s="100"/>
      <c r="F103" s="100"/>
      <c r="G103" s="70"/>
      <c r="H103" s="48"/>
      <c r="I103" s="48"/>
      <c r="J103" s="48"/>
      <c r="K103" s="48"/>
      <c r="L103" s="48"/>
      <c r="M103" s="48"/>
      <c r="N103" s="48"/>
      <c r="O103" s="48"/>
      <c r="P103" s="48"/>
      <c r="Q103" s="48"/>
      <c r="R103" s="22"/>
      <c r="S103" s="22"/>
      <c r="T103" s="22"/>
      <c r="U103" s="1"/>
    </row>
    <row r="104" spans="1:21" s="6" customFormat="1" ht="15.5" x14ac:dyDescent="0.35">
      <c r="A104" s="43"/>
      <c r="B104" s="43"/>
      <c r="C104" s="148"/>
      <c r="D104" s="44"/>
      <c r="E104" s="44"/>
      <c r="F104" s="44"/>
      <c r="G104" s="285"/>
      <c r="H104" s="43"/>
      <c r="I104" s="46"/>
      <c r="J104" s="46"/>
      <c r="K104" s="46"/>
      <c r="L104" s="46"/>
      <c r="M104" s="46"/>
      <c r="N104" s="46"/>
      <c r="O104" s="46"/>
      <c r="P104" s="46"/>
      <c r="Q104" s="46"/>
      <c r="R104" s="22"/>
      <c r="S104" s="22"/>
      <c r="T104" s="22"/>
      <c r="U104" s="5"/>
    </row>
    <row r="105" spans="1:21" ht="15.5" x14ac:dyDescent="0.35">
      <c r="A105" s="33" t="s">
        <v>37</v>
      </c>
      <c r="B105" s="34"/>
      <c r="C105" s="35" t="s">
        <v>38</v>
      </c>
      <c r="D105" s="31" t="s">
        <v>22</v>
      </c>
      <c r="E105" s="31"/>
      <c r="F105" s="31"/>
      <c r="G105" s="31"/>
      <c r="H105" s="119">
        <f>SUM(H106:H106)</f>
        <v>37646.281600000002</v>
      </c>
      <c r="I105" s="37">
        <f>SUM(I106:I107)</f>
        <v>0</v>
      </c>
      <c r="J105" s="119">
        <f t="shared" ref="J105:P105" si="58">SUM(J106:J106)</f>
        <v>42190.12</v>
      </c>
      <c r="K105" s="37">
        <f>SUM(K106:K107)</f>
        <v>0</v>
      </c>
      <c r="L105" s="119">
        <f t="shared" si="58"/>
        <v>43440.39</v>
      </c>
      <c r="M105" s="37">
        <f>SUM(M106:M107)</f>
        <v>0</v>
      </c>
      <c r="N105" s="119">
        <f t="shared" si="58"/>
        <v>44728.29</v>
      </c>
      <c r="O105" s="37">
        <f>SUM(O106:O107)</f>
        <v>0</v>
      </c>
      <c r="P105" s="118">
        <f t="shared" si="58"/>
        <v>0</v>
      </c>
      <c r="Q105" s="37">
        <f>SUM(Q106:Q107)</f>
        <v>0</v>
      </c>
      <c r="R105" s="120">
        <f>SUM(H105+J105+L105+N105+P105)</f>
        <v>168005.0816</v>
      </c>
      <c r="S105" s="15">
        <f>SUM(I105+K105+M105+O105+Q105)</f>
        <v>0</v>
      </c>
      <c r="T105" s="120">
        <f>SUM(R105+S105)</f>
        <v>168005.0816</v>
      </c>
      <c r="U105" s="5"/>
    </row>
    <row r="106" spans="1:21" s="6" customFormat="1" ht="15.5" x14ac:dyDescent="0.35">
      <c r="A106" s="69"/>
      <c r="B106" s="43"/>
      <c r="C106" s="100" t="str">
        <f>"IDC on "&amp;G5</f>
        <v>IDC on Negotiated Rate</v>
      </c>
      <c r="D106" s="308" t="str">
        <f>IF(G5=U4,"53%",H4)</f>
        <v>53%</v>
      </c>
      <c r="E106" s="568" t="str">
        <f>"[ IDC = "&amp;G5&amp;" * Indirect Rate ]"</f>
        <v>[ IDC = Negotiated Rate * Indirect Rate ]</v>
      </c>
      <c r="F106" s="568"/>
      <c r="G106" s="569"/>
      <c r="H106" s="96">
        <f>IF($G$5=Negotiated,'F&amp;A Calculation- Sponsor Funds '!I22,IF($G$5=OtherTDC,H99*$H$4,IF($G$5=TFF_TDC,(H99-H87-H88-H89-H90)*$H$4,IF($G$5=OtherMTDC,H102*$H$4))))</f>
        <v>37646.281600000002</v>
      </c>
      <c r="I106" s="24">
        <f>IF($G$5=Negotiated,'F&amp;A Calculations - Cost Share'!I22,IF($G$5=OtherTDC,I99*$H$4,IF($G$5=TFF_TDC,(I99-I87-I88-I89-I90)*$H$4,IF($G$5=OtherMTDC,I102*$H$4))))</f>
        <v>0</v>
      </c>
      <c r="J106" s="96">
        <f>IF($G$5=Negotiated,'F&amp;A Calculation- Sponsor Funds '!I32,IF($G$5=OtherTDC,J99*$H$4,IF($G$5=TFF_TDC,(J99-J87-J88-J89-J90)*$H$4,IF($G$5=OtherMTDC,J102*$H$4))))</f>
        <v>42190.12</v>
      </c>
      <c r="K106" s="24">
        <f>IF($G$5=Negotiated,'F&amp;A Calculations - Cost Share'!I32,IF($G$5=OtherTDC,K99*$H$4,IF($G$5=TFF_TDC,(K99-K87-K88-K89-K90)*$H$4,IF($G$5=OtherMTDC,K102*$H$4))))</f>
        <v>0</v>
      </c>
      <c r="L106" s="96">
        <f>IF($G$5=Negotiated,'F&amp;A Calculation- Sponsor Funds '!I42,IF($G$5=OtherTDC,L99*$H$4,IF($G$5=TFF_TDC,(L99-L87-L88-L89-L90)*$H$4,IF($G$5=OtherMTDC,L102*$H$4))))</f>
        <v>43440.39</v>
      </c>
      <c r="M106" s="24">
        <f>IF($G$5=Negotiated,'F&amp;A Calculations - Cost Share'!I42,IF($G$5=OtherTDC,M99*$H$4,IF($G$5=TFF_TDC,(M99-M87-M88-M89-M90)*$H$4,IF($G$5=OtherMTDC,M102*$H$4))))</f>
        <v>0</v>
      </c>
      <c r="N106" s="96">
        <f>IF($G$5=Negotiated,'F&amp;A Calculation- Sponsor Funds '!I52,IF($G$5=OtherTDC,N99*$H$4,IF($G$5=TFF_TDC,(N99-N87-N88-N89-N90)*$H$4,IF($G$5=OtherMTDC,N102*$H$4))))</f>
        <v>44728.29</v>
      </c>
      <c r="O106" s="24">
        <f>IF($G$5=Negotiated,'F&amp;A Calculations - Cost Share'!I52,IF($G$5=OtherTDC,O99*$H$4,IF($G$5=TFF_TDC,(O99-O87-O88-O89-O90)*$H$4,IF($G$5=OtherMTDC,O102*$H$4))))</f>
        <v>0</v>
      </c>
      <c r="P106" s="96">
        <f>IF($G$5=Negotiated,'F&amp;A Calculation- Sponsor Funds '!I62,IF($G$5=OtherTDC,P99*$H$4,IF($G$5=TFF_TDC,(P99-P87-P88-P89-P90)*$H$4,IF($G$5=OtherMTDC,P102*$H$4))))</f>
        <v>0</v>
      </c>
      <c r="Q106" s="24">
        <f>IF($G$5=Negotiated,'F&amp;A Calculations - Cost Share'!I62,IF($G$5=OtherTDC,Q99*$H$4,IF($G$5=TFF_TDC,(Q99-Q87-Q88-Q89-Q90)*$H$4,IF($G$5=OtherMTDC,Q102*$H$4))))</f>
        <v>0</v>
      </c>
      <c r="R106" s="120">
        <f>SUM(H106+J106+L106+N106+P106)</f>
        <v>168005.0816</v>
      </c>
      <c r="S106" s="15">
        <f>SUM(I106+K106+M106+O106+Q106)</f>
        <v>0</v>
      </c>
      <c r="T106" s="337">
        <f>SUM(R106+S106)</f>
        <v>168005.0816</v>
      </c>
      <c r="U106" s="1"/>
    </row>
    <row r="107" spans="1:21" s="6" customFormat="1" ht="15.5" x14ac:dyDescent="0.35">
      <c r="A107" s="69"/>
      <c r="B107" s="43"/>
      <c r="C107" s="100" t="s">
        <v>283</v>
      </c>
      <c r="D107" s="308"/>
      <c r="E107" s="312"/>
      <c r="F107" s="312"/>
      <c r="G107" s="313"/>
      <c r="H107" s="31"/>
      <c r="I107" s="24">
        <f>IF($G$6="Yes",(((H102+I102)*0.53)-H106-I106),0)</f>
        <v>0</v>
      </c>
      <c r="J107" s="31"/>
      <c r="K107" s="24">
        <f>IF($G$6="Yes",(((J102+K102)*0.53)-J106-K106),0)</f>
        <v>0</v>
      </c>
      <c r="L107" s="31"/>
      <c r="M107" s="24">
        <f>IF($G$6="Yes",(((L102+M102)*0.53)-L106-M106),0)</f>
        <v>0</v>
      </c>
      <c r="N107" s="31"/>
      <c r="O107" s="24">
        <f>IF($G$6="Yes",(((N102+O102)*0.53)-N106-O106),0)</f>
        <v>0</v>
      </c>
      <c r="P107" s="31"/>
      <c r="Q107" s="24">
        <f>IF($G$6="Yes",(((P102+Q102)*0.53)-P106-Q106),0)</f>
        <v>0</v>
      </c>
      <c r="R107" s="31"/>
      <c r="S107" s="15">
        <f>SUM(I107+K107+M107+O107+Q107)</f>
        <v>0</v>
      </c>
      <c r="T107" s="120">
        <f>S107</f>
        <v>0</v>
      </c>
      <c r="U107" s="1"/>
    </row>
    <row r="108" spans="1:21" s="6" customFormat="1" ht="15.5" x14ac:dyDescent="0.35">
      <c r="A108" s="69"/>
      <c r="B108" s="43"/>
      <c r="C108" s="149"/>
      <c r="D108" s="58"/>
      <c r="E108" s="58"/>
      <c r="F108" s="58"/>
      <c r="G108" s="222"/>
      <c r="H108" s="224"/>
      <c r="I108" s="224"/>
      <c r="J108" s="224"/>
      <c r="K108" s="224"/>
      <c r="L108" s="224"/>
      <c r="M108" s="224"/>
      <c r="N108" s="224"/>
      <c r="O108" s="224"/>
      <c r="P108" s="224"/>
      <c r="Q108" s="224"/>
      <c r="R108" s="22"/>
      <c r="S108" s="22"/>
      <c r="T108" s="22"/>
      <c r="U108" s="5"/>
    </row>
    <row r="109" spans="1:21" s="6" customFormat="1" x14ac:dyDescent="0.25">
      <c r="A109" s="43"/>
      <c r="B109" s="43"/>
      <c r="C109" s="43"/>
      <c r="D109" s="44"/>
      <c r="E109" s="44"/>
      <c r="F109" s="44"/>
      <c r="G109" s="223"/>
      <c r="H109" s="224"/>
      <c r="I109" s="224"/>
      <c r="J109" s="224"/>
      <c r="K109" s="224"/>
      <c r="L109" s="224"/>
      <c r="M109" s="224"/>
      <c r="N109" s="224"/>
      <c r="O109" s="224"/>
      <c r="P109" s="224"/>
      <c r="Q109" s="224"/>
      <c r="R109" s="22"/>
      <c r="S109" s="22"/>
      <c r="T109" s="22"/>
      <c r="U109" s="5"/>
    </row>
    <row r="110" spans="1:21" ht="15.5" x14ac:dyDescent="0.35">
      <c r="A110" s="33" t="s">
        <v>39</v>
      </c>
      <c r="B110" s="34"/>
      <c r="C110" s="53" t="s">
        <v>90</v>
      </c>
      <c r="D110" s="31"/>
      <c r="E110" s="31"/>
      <c r="F110" s="31"/>
      <c r="G110" s="31"/>
      <c r="H110" s="119">
        <f>H99+H105</f>
        <v>129867.0016</v>
      </c>
      <c r="I110" s="335">
        <f t="shared" ref="I110:Q110" si="59">I99+I105</f>
        <v>0</v>
      </c>
      <c r="J110" s="119">
        <f t="shared" si="59"/>
        <v>143874.12</v>
      </c>
      <c r="K110" s="335">
        <f t="shared" si="59"/>
        <v>0</v>
      </c>
      <c r="L110" s="119">
        <f t="shared" si="59"/>
        <v>148410.39000000001</v>
      </c>
      <c r="M110" s="335">
        <f t="shared" si="59"/>
        <v>0</v>
      </c>
      <c r="N110" s="119">
        <f t="shared" si="59"/>
        <v>153094.29</v>
      </c>
      <c r="O110" s="335">
        <f t="shared" si="59"/>
        <v>0</v>
      </c>
      <c r="P110" s="119">
        <f t="shared" si="59"/>
        <v>0</v>
      </c>
      <c r="Q110" s="335">
        <f t="shared" si="59"/>
        <v>0</v>
      </c>
      <c r="R110" s="120">
        <f>SUM(H110+J110+L110+N110+P110)</f>
        <v>575245.80160000001</v>
      </c>
      <c r="S110" s="336">
        <f>SUM(I110+K110+M110+O110+Q110)</f>
        <v>0</v>
      </c>
      <c r="T110" s="337">
        <f>SUM(R110+S110)</f>
        <v>575245.80160000001</v>
      </c>
      <c r="U110" s="5"/>
    </row>
    <row r="111" spans="1:21" s="142" customFormat="1" ht="15.5" x14ac:dyDescent="0.35">
      <c r="A111" s="33"/>
      <c r="B111" s="34"/>
      <c r="C111" s="100" t="s">
        <v>234</v>
      </c>
      <c r="D111" s="71"/>
      <c r="E111" s="71"/>
      <c r="F111" s="71"/>
      <c r="G111" s="71"/>
      <c r="H111" s="31"/>
      <c r="I111" s="37"/>
      <c r="J111" s="31"/>
      <c r="K111" s="37"/>
      <c r="L111" s="31"/>
      <c r="M111" s="37"/>
      <c r="N111" s="31"/>
      <c r="O111" s="37"/>
      <c r="P111" s="31"/>
      <c r="Q111" s="37"/>
      <c r="R111" s="31"/>
      <c r="S111" s="336">
        <f t="shared" ref="S111:S113" si="60">SUM(I111+K111+M111+O111+Q111)</f>
        <v>0</v>
      </c>
      <c r="T111" s="337">
        <f>S111</f>
        <v>0</v>
      </c>
      <c r="U111" s="5"/>
    </row>
    <row r="112" spans="1:21" s="142" customFormat="1" ht="15.5" x14ac:dyDescent="0.35">
      <c r="A112" s="33"/>
      <c r="B112" s="34"/>
      <c r="C112" s="100" t="s">
        <v>235</v>
      </c>
      <c r="D112" s="71"/>
      <c r="E112" s="71"/>
      <c r="F112" s="71"/>
      <c r="G112" s="71"/>
      <c r="H112" s="31"/>
      <c r="I112" s="37"/>
      <c r="J112" s="31"/>
      <c r="K112" s="37"/>
      <c r="L112" s="31"/>
      <c r="M112" s="37"/>
      <c r="N112" s="31"/>
      <c r="O112" s="37"/>
      <c r="P112" s="31"/>
      <c r="Q112" s="37"/>
      <c r="R112" s="31"/>
      <c r="S112" s="336">
        <f t="shared" si="60"/>
        <v>0</v>
      </c>
      <c r="T112" s="337">
        <f>S112</f>
        <v>0</v>
      </c>
      <c r="U112" s="5"/>
    </row>
    <row r="113" spans="1:21" s="142" customFormat="1" ht="15.5" x14ac:dyDescent="0.35">
      <c r="A113" s="54" t="s">
        <v>249</v>
      </c>
      <c r="B113" s="34"/>
      <c r="C113" s="339" t="s">
        <v>236</v>
      </c>
      <c r="D113" s="340"/>
      <c r="E113" s="340"/>
      <c r="F113" s="340"/>
      <c r="G113" s="340"/>
      <c r="H113" s="119">
        <f>H110</f>
        <v>129867.0016</v>
      </c>
      <c r="I113" s="37">
        <f>SUM(I110:I112)</f>
        <v>0</v>
      </c>
      <c r="J113" s="119">
        <f>+J110</f>
        <v>143874.12</v>
      </c>
      <c r="K113" s="37">
        <f>SUM(K110:K112)</f>
        <v>0</v>
      </c>
      <c r="L113" s="119">
        <f>+L110</f>
        <v>148410.39000000001</v>
      </c>
      <c r="M113" s="37">
        <f>SUM(M110:M112)</f>
        <v>0</v>
      </c>
      <c r="N113" s="119">
        <f>+N110</f>
        <v>153094.29</v>
      </c>
      <c r="O113" s="37">
        <f>SUM(O110:O112)</f>
        <v>0</v>
      </c>
      <c r="P113" s="119">
        <f>+P110</f>
        <v>0</v>
      </c>
      <c r="Q113" s="37">
        <f>SUM(Q110:Q112)</f>
        <v>0</v>
      </c>
      <c r="R113" s="119">
        <f>+R110</f>
        <v>575245.80160000001</v>
      </c>
      <c r="S113" s="15">
        <f t="shared" si="60"/>
        <v>0</v>
      </c>
      <c r="T113" s="337">
        <f t="shared" ref="T113" si="61">SUM(R113+S113)</f>
        <v>575245.80160000001</v>
      </c>
      <c r="U113" s="5"/>
    </row>
    <row r="114" spans="1:21" ht="15.5" x14ac:dyDescent="0.35">
      <c r="A114" s="33"/>
      <c r="B114" s="34"/>
      <c r="C114" s="117"/>
      <c r="D114" s="44"/>
      <c r="E114" s="44"/>
      <c r="F114" s="44"/>
      <c r="G114" s="44"/>
      <c r="H114" s="60"/>
      <c r="I114" s="60"/>
      <c r="J114" s="60"/>
      <c r="K114" s="60"/>
      <c r="L114" s="60"/>
      <c r="M114" s="60"/>
      <c r="N114" s="60"/>
      <c r="O114" s="60"/>
      <c r="P114" s="60"/>
      <c r="Q114" s="60"/>
      <c r="R114" s="31"/>
      <c r="S114" s="60"/>
      <c r="T114" s="60"/>
      <c r="U114" s="2"/>
    </row>
    <row r="116" spans="1:21" s="142" customFormat="1" x14ac:dyDescent="0.25">
      <c r="A116" s="73"/>
      <c r="B116" s="73"/>
      <c r="C116" s="73"/>
      <c r="D116" s="73"/>
      <c r="E116" s="73"/>
      <c r="F116" s="73"/>
      <c r="G116" s="73"/>
      <c r="H116" s="73"/>
      <c r="I116" s="73"/>
      <c r="J116" s="73"/>
      <c r="K116" s="73"/>
      <c r="L116" s="73"/>
      <c r="M116" s="73"/>
      <c r="N116" s="73"/>
      <c r="O116" s="73"/>
      <c r="P116" s="73"/>
      <c r="Q116" s="73"/>
      <c r="R116" s="73"/>
      <c r="S116" s="73"/>
      <c r="T116" s="73"/>
      <c r="U116" s="1"/>
    </row>
    <row r="117" spans="1:21" s="142" customFormat="1" x14ac:dyDescent="0.25">
      <c r="A117" s="73"/>
      <c r="B117" s="73"/>
      <c r="C117" s="73" t="s">
        <v>237</v>
      </c>
      <c r="D117" s="553">
        <f>'TFFA IDC Calculator'!D46</f>
        <v>0</v>
      </c>
      <c r="E117" s="73"/>
      <c r="F117" s="73"/>
      <c r="G117" s="73"/>
      <c r="H117" s="463"/>
      <c r="I117" s="73"/>
      <c r="J117" s="73"/>
      <c r="K117" s="73"/>
      <c r="L117" s="73"/>
      <c r="M117" s="73"/>
      <c r="N117" s="73"/>
      <c r="O117" s="73"/>
      <c r="P117" s="73"/>
      <c r="Q117" s="73"/>
      <c r="R117" s="73"/>
      <c r="S117" s="73"/>
      <c r="T117" s="73"/>
      <c r="U117" s="1"/>
    </row>
    <row r="118" spans="1:21" x14ac:dyDescent="0.25">
      <c r="C118" s="73" t="s">
        <v>238</v>
      </c>
      <c r="D118" s="553">
        <f>'TFFA IDC Calculator'!D45</f>
        <v>168005.0816</v>
      </c>
    </row>
    <row r="119" spans="1:21" s="142" customFormat="1" x14ac:dyDescent="0.25">
      <c r="A119" s="73"/>
      <c r="B119" s="73"/>
      <c r="C119" s="73"/>
      <c r="D119" s="73"/>
      <c r="E119" s="73"/>
      <c r="F119" s="73"/>
      <c r="G119" s="73"/>
      <c r="H119" s="73"/>
      <c r="I119" s="73"/>
      <c r="J119" s="73"/>
      <c r="K119" s="73"/>
      <c r="L119" s="73"/>
      <c r="M119" s="73"/>
      <c r="N119" s="73"/>
      <c r="O119" s="73"/>
      <c r="P119" s="73"/>
      <c r="Q119" s="73"/>
      <c r="R119" s="73"/>
      <c r="S119" s="73"/>
      <c r="T119" s="73"/>
      <c r="U119" s="1"/>
    </row>
    <row r="120" spans="1:21" s="142" customFormat="1" x14ac:dyDescent="0.25">
      <c r="A120" s="73"/>
      <c r="B120" s="73"/>
      <c r="C120" s="73" t="s">
        <v>239</v>
      </c>
      <c r="D120" s="73" t="str">
        <f>'TFFA IDC Calculator'!D48:E48</f>
        <v>ISU TFFA Rate</v>
      </c>
      <c r="E120" s="73"/>
      <c r="F120" s="73"/>
      <c r="G120" s="73"/>
      <c r="H120" s="73"/>
      <c r="I120" s="73"/>
      <c r="J120" s="73"/>
      <c r="K120" s="73"/>
      <c r="L120" s="73"/>
      <c r="M120" s="73"/>
      <c r="N120" s="73"/>
      <c r="O120" s="73"/>
      <c r="P120" s="73"/>
      <c r="Q120" s="73"/>
      <c r="R120" s="73"/>
      <c r="S120" s="73"/>
      <c r="T120" s="73"/>
      <c r="U120" s="1"/>
    </row>
    <row r="121" spans="1:21" x14ac:dyDescent="0.25">
      <c r="H121" s="218"/>
    </row>
    <row r="122" spans="1:21" ht="13" x14ac:dyDescent="0.3">
      <c r="C122" s="74" t="s">
        <v>72</v>
      </c>
      <c r="J122" s="75"/>
      <c r="K122" s="75"/>
      <c r="L122" s="75"/>
      <c r="M122" s="75"/>
    </row>
    <row r="123" spans="1:21" ht="13" x14ac:dyDescent="0.3">
      <c r="C123" s="74"/>
      <c r="J123" s="75"/>
      <c r="K123" s="75"/>
      <c r="L123" s="75"/>
      <c r="M123" s="75"/>
      <c r="U123"/>
    </row>
    <row r="124" spans="1:21" ht="13" x14ac:dyDescent="0.3">
      <c r="C124" s="565" t="s">
        <v>80</v>
      </c>
      <c r="D124" s="565"/>
      <c r="E124" s="565"/>
      <c r="F124" s="565"/>
      <c r="G124" s="565"/>
      <c r="H124" s="565"/>
      <c r="I124" s="565"/>
      <c r="J124" s="565"/>
      <c r="K124" s="565"/>
      <c r="L124" s="565"/>
      <c r="M124" s="565"/>
      <c r="N124" s="565"/>
      <c r="O124" s="565"/>
      <c r="P124" s="565"/>
      <c r="Q124" s="565"/>
      <c r="R124" s="565"/>
      <c r="S124" s="76"/>
      <c r="T124" s="76"/>
      <c r="U124"/>
    </row>
    <row r="125" spans="1:21" ht="13" x14ac:dyDescent="0.3">
      <c r="C125" s="74"/>
      <c r="J125" s="75"/>
      <c r="K125" s="75"/>
      <c r="L125" s="75"/>
      <c r="M125" s="75"/>
      <c r="U125"/>
    </row>
    <row r="126" spans="1:21" ht="12.75" customHeight="1" x14ac:dyDescent="0.3">
      <c r="C126" s="565" t="s">
        <v>81</v>
      </c>
      <c r="D126" s="565"/>
      <c r="E126" s="565"/>
      <c r="F126" s="565"/>
      <c r="G126" s="565"/>
      <c r="H126" s="565"/>
      <c r="I126" s="565"/>
      <c r="J126" s="565"/>
      <c r="K126" s="565"/>
      <c r="L126" s="565"/>
      <c r="M126" s="565"/>
      <c r="N126" s="565"/>
      <c r="O126" s="565"/>
      <c r="P126" s="565"/>
      <c r="Q126" s="565"/>
      <c r="R126" s="565"/>
      <c r="S126" s="77"/>
      <c r="T126" s="77"/>
      <c r="U126"/>
    </row>
    <row r="127" spans="1:21" ht="13" x14ac:dyDescent="0.3">
      <c r="C127" s="74"/>
      <c r="J127" s="75"/>
      <c r="K127" s="75"/>
      <c r="L127" s="75"/>
      <c r="M127" s="75"/>
      <c r="U127"/>
    </row>
    <row r="128" spans="1:21" x14ac:dyDescent="0.25">
      <c r="S128" s="76"/>
      <c r="T128" s="76"/>
      <c r="U128"/>
    </row>
    <row r="129" spans="3:21" ht="13" x14ac:dyDescent="0.3">
      <c r="C129" s="74"/>
      <c r="H129" s="75"/>
      <c r="I129" s="75"/>
      <c r="U129"/>
    </row>
    <row r="130" spans="3:21" ht="13" x14ac:dyDescent="0.3">
      <c r="C130" s="78"/>
      <c r="D130" s="78"/>
      <c r="E130" s="78"/>
      <c r="F130" s="78"/>
      <c r="G130" s="78"/>
      <c r="H130" s="78"/>
      <c r="I130" s="78"/>
      <c r="J130" s="78"/>
      <c r="K130" s="78"/>
      <c r="L130" s="78"/>
      <c r="M130" s="78"/>
      <c r="N130" s="78"/>
      <c r="O130" s="78"/>
      <c r="P130" s="78"/>
      <c r="Q130" s="78"/>
      <c r="R130" s="78"/>
      <c r="S130" s="78"/>
      <c r="T130" s="78"/>
      <c r="U130"/>
    </row>
    <row r="131" spans="3:21" ht="13" x14ac:dyDescent="0.3">
      <c r="C131" s="74" t="s">
        <v>73</v>
      </c>
      <c r="F131" s="79" t="s">
        <v>91</v>
      </c>
      <c r="I131" s="74"/>
      <c r="J131" s="80"/>
      <c r="K131" s="79" t="s">
        <v>245</v>
      </c>
      <c r="M131" s="75"/>
      <c r="N131" s="75"/>
      <c r="O131" s="81"/>
    </row>
    <row r="132" spans="3:21" x14ac:dyDescent="0.25">
      <c r="C132" s="73" t="s">
        <v>64</v>
      </c>
      <c r="D132" s="82">
        <v>0.27700000000000002</v>
      </c>
      <c r="E132" s="82"/>
      <c r="F132" s="81"/>
      <c r="G132" s="81"/>
      <c r="J132" s="81"/>
      <c r="M132" s="75"/>
      <c r="N132" s="75"/>
      <c r="O132" s="81"/>
      <c r="U132"/>
    </row>
    <row r="133" spans="3:21" x14ac:dyDescent="0.25">
      <c r="C133" s="73" t="s">
        <v>20</v>
      </c>
      <c r="D133" s="82">
        <v>5.8999999999999997E-2</v>
      </c>
      <c r="E133" s="82"/>
      <c r="F133" s="83">
        <v>0.53</v>
      </c>
      <c r="G133" s="315" t="s">
        <v>92</v>
      </c>
      <c r="H133" s="316"/>
      <c r="I133" s="317"/>
      <c r="J133" s="86"/>
      <c r="K133" s="320"/>
      <c r="L133" s="316"/>
      <c r="M133" s="321"/>
      <c r="N133" s="322"/>
      <c r="U133"/>
    </row>
    <row r="134" spans="3:21" x14ac:dyDescent="0.25">
      <c r="C134" s="73" t="s">
        <v>24</v>
      </c>
      <c r="D134" s="82">
        <v>0.33</v>
      </c>
      <c r="E134" s="82"/>
      <c r="F134" s="85">
        <v>0.53</v>
      </c>
      <c r="G134" s="84" t="s">
        <v>93</v>
      </c>
      <c r="H134" s="86"/>
      <c r="I134" s="318"/>
      <c r="J134" s="86"/>
      <c r="K134" s="314"/>
      <c r="L134" s="332" t="s">
        <v>248</v>
      </c>
      <c r="M134" s="323"/>
      <c r="N134" s="324"/>
      <c r="U134"/>
    </row>
    <row r="135" spans="3:21" x14ac:dyDescent="0.25">
      <c r="C135" s="73" t="s">
        <v>65</v>
      </c>
      <c r="D135" s="82">
        <v>0.34599999999999997</v>
      </c>
      <c r="E135" s="82"/>
      <c r="F135" s="85">
        <v>0.33</v>
      </c>
      <c r="G135" s="84" t="s">
        <v>94</v>
      </c>
      <c r="H135" s="86"/>
      <c r="I135" s="318"/>
      <c r="J135" s="86"/>
      <c r="K135" s="325"/>
      <c r="L135" s="86"/>
      <c r="M135" s="323"/>
      <c r="N135" s="324"/>
      <c r="U135"/>
    </row>
    <row r="136" spans="3:21" x14ac:dyDescent="0.25">
      <c r="C136" s="73" t="s">
        <v>25</v>
      </c>
      <c r="D136" s="87">
        <v>0.438</v>
      </c>
      <c r="E136" s="87"/>
      <c r="F136" s="88">
        <v>0.26</v>
      </c>
      <c r="G136" s="89" t="s">
        <v>95</v>
      </c>
      <c r="H136" s="90"/>
      <c r="I136" s="319"/>
      <c r="J136" s="86"/>
      <c r="K136" s="330">
        <f>ROUNDDOWN(K134/N136,4)</f>
        <v>0</v>
      </c>
      <c r="L136" s="332" t="s">
        <v>246</v>
      </c>
      <c r="M136" s="323"/>
      <c r="N136" s="331">
        <f>100-K134</f>
        <v>100</v>
      </c>
      <c r="U136"/>
    </row>
    <row r="137" spans="3:21" x14ac:dyDescent="0.25">
      <c r="C137" s="73" t="s">
        <v>66</v>
      </c>
      <c r="D137" s="82">
        <v>6.0000000000000001E-3</v>
      </c>
      <c r="E137" s="82"/>
      <c r="F137" s="329"/>
      <c r="G137" s="84"/>
      <c r="H137" s="86"/>
      <c r="I137" s="86"/>
      <c r="J137" s="86"/>
      <c r="K137" s="326"/>
      <c r="L137" s="333" t="s">
        <v>247</v>
      </c>
      <c r="M137" s="327"/>
      <c r="N137" s="328"/>
      <c r="U137"/>
    </row>
    <row r="138" spans="3:21" x14ac:dyDescent="0.25">
      <c r="C138" s="73" t="s">
        <v>67</v>
      </c>
      <c r="D138" s="87">
        <v>0.16800000000000001</v>
      </c>
      <c r="E138" s="87"/>
      <c r="G138" s="75"/>
      <c r="H138" s="75"/>
      <c r="U138"/>
    </row>
    <row r="139" spans="3:21" x14ac:dyDescent="0.25">
      <c r="U139"/>
    </row>
    <row r="140" spans="3:21" x14ac:dyDescent="0.25">
      <c r="C140" s="91" t="s">
        <v>79</v>
      </c>
      <c r="U140"/>
    </row>
    <row r="141" spans="3:21" x14ac:dyDescent="0.25">
      <c r="C141" s="151" t="s">
        <v>161</v>
      </c>
      <c r="U141"/>
    </row>
    <row r="142" spans="3:21" x14ac:dyDescent="0.25">
      <c r="C142" s="92" t="s">
        <v>162</v>
      </c>
      <c r="U142"/>
    </row>
    <row r="143" spans="3:21" x14ac:dyDescent="0.25">
      <c r="U143"/>
    </row>
    <row r="144" spans="3:21" x14ac:dyDescent="0.25">
      <c r="U144"/>
    </row>
    <row r="145" spans="21:21" x14ac:dyDescent="0.25">
      <c r="U145"/>
    </row>
  </sheetData>
  <mergeCells count="22">
    <mergeCell ref="C126:R126"/>
    <mergeCell ref="D71:G71"/>
    <mergeCell ref="D72:G72"/>
    <mergeCell ref="D75:G75"/>
    <mergeCell ref="C124:R124"/>
    <mergeCell ref="D76:G76"/>
    <mergeCell ref="D77:G77"/>
    <mergeCell ref="E106:G106"/>
    <mergeCell ref="D74:G74"/>
    <mergeCell ref="D91:E94"/>
    <mergeCell ref="D95:E95"/>
    <mergeCell ref="E3:F3"/>
    <mergeCell ref="S9:S12"/>
    <mergeCell ref="T9:T12"/>
    <mergeCell ref="S1:T1"/>
    <mergeCell ref="H9:I9"/>
    <mergeCell ref="J9:K9"/>
    <mergeCell ref="L9:M9"/>
    <mergeCell ref="N9:O9"/>
    <mergeCell ref="P9:Q9"/>
    <mergeCell ref="R9:R12"/>
    <mergeCell ref="S2:T2"/>
  </mergeCells>
  <phoneticPr fontId="6" type="noConversion"/>
  <dataValidations count="3">
    <dataValidation allowBlank="1" showInputMessage="1" showErrorMessage="1" promptTitle="Reminder" prompt="Postdoc minimum can be found at http://www.grad-college.iastate.edu/post_doc/policies.php" sqref="D26" xr:uid="{00000000-0002-0000-0000-000000000000}"/>
    <dataValidation type="list" allowBlank="1" showInputMessage="1" showErrorMessage="1" sqref="G5" xr:uid="{00000000-0002-0000-0000-000001000000}">
      <formula1>FA_RATE</formula1>
    </dataValidation>
    <dataValidation type="list" allowBlank="1" showInputMessage="1" showErrorMessage="1" sqref="G6" xr:uid="{00000000-0002-0000-0000-000002000000}">
      <formula1>$V$4:$V$5</formula1>
    </dataValidation>
  </dataValidations>
  <hyperlinks>
    <hyperlink ref="C142" r:id="rId1" xr:uid="{00000000-0004-0000-0000-000000000000}"/>
    <hyperlink ref="D74" r:id="rId2" xr:uid="{00000000-0004-0000-0000-000001000000}"/>
    <hyperlink ref="D91" r:id="rId3" xr:uid="{00000000-0004-0000-0000-000002000000}"/>
  </hyperlinks>
  <printOptions horizontalCentered="1"/>
  <pageMargins left="0.75" right="0.75" top="1" bottom="1" header="0.5" footer="0.5"/>
  <pageSetup scale="29" orientation="landscape" horizontalDpi="1200" verticalDpi="1200" r:id="rId4"/>
  <headerFooter alignWithMargins="0"/>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82"/>
  <sheetViews>
    <sheetView topLeftCell="F1" workbookViewId="0">
      <selection activeCell="K21" sqref="K21"/>
    </sheetView>
  </sheetViews>
  <sheetFormatPr defaultColWidth="16.26953125" defaultRowHeight="12.5" x14ac:dyDescent="0.25"/>
  <cols>
    <col min="1" max="1" width="25.81640625" style="152" bestFit="1" customWidth="1"/>
    <col min="2" max="2" width="11" style="152" customWidth="1"/>
    <col min="3" max="3" width="11.453125" style="152" hidden="1" customWidth="1"/>
    <col min="4" max="4" width="24.1796875" style="152" customWidth="1"/>
    <col min="5" max="5" width="16.26953125" style="152" bestFit="1" customWidth="1"/>
    <col min="6" max="6" width="11.81640625" style="152" bestFit="1" customWidth="1"/>
    <col min="7" max="7" width="13.81640625" style="152" hidden="1" customWidth="1"/>
    <col min="8" max="8" width="9" style="152" bestFit="1" customWidth="1"/>
    <col min="9" max="9" width="15.1796875" style="152" bestFit="1" customWidth="1"/>
    <col min="10" max="10" width="14" style="152" bestFit="1" customWidth="1"/>
    <col min="11" max="11" width="26.81640625" style="152" bestFit="1" customWidth="1"/>
    <col min="12" max="12" width="13.1796875" style="152" bestFit="1" customWidth="1"/>
    <col min="13" max="13" width="11.453125" style="152" bestFit="1" customWidth="1"/>
    <col min="14" max="16384" width="16.26953125" style="152"/>
  </cols>
  <sheetData>
    <row r="1" spans="1:13" ht="13" x14ac:dyDescent="0.3">
      <c r="D1" s="217" t="s">
        <v>198</v>
      </c>
    </row>
    <row r="3" spans="1:13" ht="13" x14ac:dyDescent="0.3">
      <c r="A3" s="217" t="s">
        <v>197</v>
      </c>
      <c r="B3" s="177" t="s">
        <v>196</v>
      </c>
    </row>
    <row r="4" spans="1:13" ht="13" x14ac:dyDescent="0.3">
      <c r="A4" s="217"/>
      <c r="B4" s="177" t="s">
        <v>195</v>
      </c>
    </row>
    <row r="5" spans="1:13" ht="13" x14ac:dyDescent="0.3">
      <c r="A5" s="217"/>
      <c r="B5" s="177"/>
    </row>
    <row r="6" spans="1:13" ht="13" hidden="1" x14ac:dyDescent="0.3">
      <c r="A6" s="217"/>
      <c r="B6" s="177" t="s">
        <v>194</v>
      </c>
    </row>
    <row r="7" spans="1:13" ht="13" hidden="1" x14ac:dyDescent="0.3">
      <c r="A7" s="217"/>
      <c r="B7" s="177" t="s">
        <v>193</v>
      </c>
    </row>
    <row r="8" spans="1:13" ht="13" hidden="1" x14ac:dyDescent="0.3">
      <c r="A8" s="217"/>
      <c r="B8" s="177"/>
    </row>
    <row r="9" spans="1:13" ht="13" x14ac:dyDescent="0.3">
      <c r="A9" s="217"/>
      <c r="B9" s="177" t="s">
        <v>192</v>
      </c>
    </row>
    <row r="10" spans="1:13" ht="13.5" thickBot="1" x14ac:dyDescent="0.35">
      <c r="A10" s="217"/>
      <c r="B10" s="177"/>
    </row>
    <row r="11" spans="1:13" ht="13" x14ac:dyDescent="0.3">
      <c r="A11" s="217"/>
      <c r="B11" s="216"/>
      <c r="C11" s="215"/>
      <c r="D11" s="214" t="s">
        <v>191</v>
      </c>
      <c r="E11" s="215"/>
      <c r="F11" s="215"/>
      <c r="G11" s="215"/>
      <c r="H11" s="215"/>
      <c r="I11" s="214" t="s">
        <v>190</v>
      </c>
    </row>
    <row r="12" spans="1:13" ht="13.5" thickBot="1" x14ac:dyDescent="0.35">
      <c r="A12" s="213" t="s">
        <v>189</v>
      </c>
      <c r="B12" s="212"/>
      <c r="C12" s="211"/>
      <c r="D12" s="210">
        <f>D22+D32+D42+D52+D62+D72+D82</f>
        <v>316990.71999999997</v>
      </c>
      <c r="E12" s="211"/>
      <c r="F12" s="211"/>
      <c r="G12" s="211"/>
      <c r="H12" s="211"/>
      <c r="I12" s="210">
        <f>I22+I32+I42+I52+I62+I72+I82</f>
        <v>168005.0816</v>
      </c>
    </row>
    <row r="15" spans="1:13" ht="26.5" thickBot="1" x14ac:dyDescent="0.35">
      <c r="A15" s="194" t="s">
        <v>188</v>
      </c>
      <c r="B15" s="190" t="s">
        <v>177</v>
      </c>
      <c r="C15" s="191" t="s">
        <v>175</v>
      </c>
      <c r="D15" s="193" t="s">
        <v>176</v>
      </c>
      <c r="E15" s="191" t="s">
        <v>175</v>
      </c>
      <c r="F15" s="192"/>
      <c r="G15" s="191" t="s">
        <v>175</v>
      </c>
      <c r="H15" s="177"/>
      <c r="I15" s="191" t="s">
        <v>175</v>
      </c>
      <c r="J15" s="191" t="s">
        <v>175</v>
      </c>
      <c r="K15" s="209" t="s">
        <v>187</v>
      </c>
      <c r="L15" s="208"/>
    </row>
    <row r="16" spans="1:13" ht="13.5" thickBot="1" x14ac:dyDescent="0.35">
      <c r="A16" s="177"/>
      <c r="B16" s="190" t="s">
        <v>174</v>
      </c>
      <c r="C16" s="187" t="s">
        <v>173</v>
      </c>
      <c r="D16" s="189" t="s">
        <v>172</v>
      </c>
      <c r="E16" s="188" t="s">
        <v>171</v>
      </c>
      <c r="F16" s="187" t="s">
        <v>170</v>
      </c>
      <c r="G16" s="187" t="s">
        <v>169</v>
      </c>
      <c r="H16" s="186" t="s">
        <v>163</v>
      </c>
      <c r="I16" s="186" t="s">
        <v>168</v>
      </c>
      <c r="J16" s="185" t="s">
        <v>167</v>
      </c>
      <c r="K16" s="206" t="s">
        <v>186</v>
      </c>
      <c r="L16" s="207" t="s">
        <v>185</v>
      </c>
      <c r="M16" s="206" t="s">
        <v>184</v>
      </c>
    </row>
    <row r="17" spans="1:13" ht="13.5" thickBot="1" x14ac:dyDescent="0.35">
      <c r="A17" s="184" t="s">
        <v>166</v>
      </c>
      <c r="B17" s="178">
        <f>Summary!H11</f>
        <v>44440</v>
      </c>
      <c r="C17" s="183">
        <f>ROUND(IF((B17=0),0,(B18-B17))/30,0)</f>
        <v>12</v>
      </c>
      <c r="D17" s="182">
        <f>Summary!H102</f>
        <v>71030.720000000001</v>
      </c>
      <c r="E17" s="181">
        <f>IF(ISERROR(D17/F22),0,(D17/F22))</f>
        <v>194.60471232876714</v>
      </c>
      <c r="F17" s="173">
        <f>IF(OR($B$18&lt;$K17,$B$17&gt;$L17),0,(MIN($B$18,$L17)-MAX($B$17,$K17)+1))</f>
        <v>0</v>
      </c>
      <c r="G17" s="173">
        <f>ROUND(IF(ISERROR(F17/365),0,(F17/365)*12),2)</f>
        <v>0</v>
      </c>
      <c r="H17" s="172">
        <f>IF(OR($B$18&lt;$K17,$B$17&gt;$L17),0,M17)</f>
        <v>0</v>
      </c>
      <c r="I17" s="171">
        <f>(F17*$E$17)*H17</f>
        <v>0</v>
      </c>
      <c r="J17" s="170">
        <f>IF(ISERROR(I17/H17),0,(I17/H17))</f>
        <v>0</v>
      </c>
      <c r="K17" s="203">
        <v>42552</v>
      </c>
      <c r="L17" s="202">
        <v>42916</v>
      </c>
      <c r="M17" s="201">
        <v>0.52</v>
      </c>
    </row>
    <row r="18" spans="1:13" ht="13.5" thickBot="1" x14ac:dyDescent="0.35">
      <c r="A18" s="179" t="s">
        <v>165</v>
      </c>
      <c r="B18" s="178">
        <f>Summary!I11</f>
        <v>44804</v>
      </c>
      <c r="C18" s="205"/>
      <c r="D18" s="175"/>
      <c r="E18" s="174"/>
      <c r="F18" s="173">
        <f>IF(OR($B$18&lt;$K18,$B$17&gt;$L18),0,(MIN($B$18,$L18)-MAX($B$17,$K18)+1))</f>
        <v>0</v>
      </c>
      <c r="G18" s="173">
        <f>ROUND(IF(ISERROR(F18/365),0,(F18/365)*12),2)</f>
        <v>0</v>
      </c>
      <c r="H18" s="172">
        <f>IF(OR($B$18&lt;$K18,$B$17&gt;$L18),0,M18)</f>
        <v>0</v>
      </c>
      <c r="I18" s="171">
        <f>(F18*$E$17)*H18</f>
        <v>0</v>
      </c>
      <c r="J18" s="170">
        <f>IF(ISERROR(I18/H18),0,(I18/H18))</f>
        <v>0</v>
      </c>
      <c r="K18" s="203">
        <v>42917</v>
      </c>
      <c r="L18" s="202">
        <v>43281</v>
      </c>
      <c r="M18" s="201">
        <v>0.52</v>
      </c>
    </row>
    <row r="19" spans="1:13" x14ac:dyDescent="0.25">
      <c r="C19" s="204"/>
      <c r="D19" s="175"/>
      <c r="E19" s="174"/>
      <c r="F19" s="173">
        <f>IF(OR($B$18&lt;$K19,$B$17&gt;$L19),0,(MIN($B$18,$L19)-MAX($B$17,$K19)+1))</f>
        <v>0</v>
      </c>
      <c r="G19" s="173">
        <f>ROUND(IF(ISERROR(F19/365),0,(F19/365)*12),2)</f>
        <v>0</v>
      </c>
      <c r="H19" s="172">
        <f>IF(OR($B$18&lt;$K19,$B$17&gt;$L19),0,M19)</f>
        <v>0</v>
      </c>
      <c r="I19" s="171">
        <f>(F19*$E$17)*H19</f>
        <v>0</v>
      </c>
      <c r="J19" s="170">
        <f>IF(ISERROR(I19/H19),0,(I19/H19))</f>
        <v>0</v>
      </c>
      <c r="K19" s="203">
        <v>43282</v>
      </c>
      <c r="L19" s="202">
        <v>43646</v>
      </c>
      <c r="M19" s="201">
        <v>0.53</v>
      </c>
    </row>
    <row r="20" spans="1:13" x14ac:dyDescent="0.25">
      <c r="A20" s="177"/>
      <c r="C20" s="176"/>
      <c r="D20" s="175"/>
      <c r="E20" s="174"/>
      <c r="F20" s="173">
        <f>IF(OR($B$18&lt;$K20,$B$17&gt;$L20),0,(MIN($B$18,$L20)-MAX($B$17,$K20)+1))</f>
        <v>0</v>
      </c>
      <c r="G20" s="173">
        <f>ROUND(IF(ISERROR(F20/365),0,(F20/365)*12),2)</f>
        <v>0</v>
      </c>
      <c r="H20" s="172">
        <f>IF(OR($B$18&lt;$K20,$B$17&gt;$L20),0,M20)</f>
        <v>0</v>
      </c>
      <c r="I20" s="171">
        <f>(F20*$E$17)*H20</f>
        <v>0</v>
      </c>
      <c r="J20" s="170">
        <f>IF(ISERROR(I20/H20),0,(I20/H20))</f>
        <v>0</v>
      </c>
      <c r="K20" s="203">
        <v>43647</v>
      </c>
      <c r="L20" s="202">
        <v>44012</v>
      </c>
      <c r="M20" s="201">
        <v>0.53</v>
      </c>
    </row>
    <row r="21" spans="1:13" x14ac:dyDescent="0.25">
      <c r="B21" s="169"/>
      <c r="C21" s="168"/>
      <c r="D21" s="167"/>
      <c r="E21" s="166"/>
      <c r="F21" s="165">
        <f>IF(OR($B$18&lt;$K21,$B$17&gt;$L21),0,(MIN($B$18,$L21)-MAX($B$17,$K21)+1))</f>
        <v>365</v>
      </c>
      <c r="G21" s="165">
        <f>ROUND(IF(ISERROR(F21/365),0,(F21/365)*12),2)</f>
        <v>12</v>
      </c>
      <c r="H21" s="164">
        <f>IF(OR($B$18&lt;$K21,$B$17&gt;$L21),0,M21)</f>
        <v>0.53</v>
      </c>
      <c r="I21" s="163">
        <f>(F21*$E$17)*H21</f>
        <v>37646.281600000002</v>
      </c>
      <c r="J21" s="162">
        <f>IF(ISERROR(I21/H21),0,(I21/H21))</f>
        <v>71030.720000000001</v>
      </c>
      <c r="K21" s="203">
        <v>44013</v>
      </c>
      <c r="L21" s="202">
        <v>47664</v>
      </c>
      <c r="M21" s="201">
        <v>0.53</v>
      </c>
    </row>
    <row r="22" spans="1:13" ht="13" x14ac:dyDescent="0.3">
      <c r="B22" s="161" t="s">
        <v>164</v>
      </c>
      <c r="C22" s="160"/>
      <c r="D22" s="159">
        <f>SUM(D17:D21)</f>
        <v>71030.720000000001</v>
      </c>
      <c r="E22" s="158"/>
      <c r="F22" s="157">
        <f>SUM(F17:F21)</f>
        <v>365</v>
      </c>
      <c r="G22" s="156">
        <f>SUM(G17:G21)</f>
        <v>12</v>
      </c>
      <c r="H22" s="155">
        <f>AVERAGEIF(H17:H21,"&lt;&gt;0")</f>
        <v>0.53</v>
      </c>
      <c r="I22" s="154">
        <f>SUM(I17:I21)</f>
        <v>37646.281600000002</v>
      </c>
      <c r="J22" s="153">
        <f>SUM(J17:J21)</f>
        <v>71030.720000000001</v>
      </c>
      <c r="K22" s="200"/>
      <c r="L22" s="200"/>
      <c r="M22" s="200"/>
    </row>
    <row r="23" spans="1:13" x14ac:dyDescent="0.25">
      <c r="F23" s="199"/>
      <c r="G23" s="192"/>
    </row>
    <row r="24" spans="1:13" ht="14.25" customHeight="1" x14ac:dyDescent="0.25">
      <c r="F24" s="192"/>
      <c r="G24" s="192"/>
    </row>
    <row r="25" spans="1:13" ht="18" customHeight="1" thickBot="1" x14ac:dyDescent="0.35">
      <c r="A25" s="194" t="s">
        <v>183</v>
      </c>
      <c r="B25" s="190" t="s">
        <v>177</v>
      </c>
      <c r="C25" s="191" t="s">
        <v>175</v>
      </c>
      <c r="D25" s="193" t="s">
        <v>176</v>
      </c>
      <c r="E25" s="191" t="s">
        <v>175</v>
      </c>
      <c r="F25" s="192"/>
      <c r="G25" s="191" t="s">
        <v>175</v>
      </c>
      <c r="H25" s="177"/>
      <c r="I25" s="191" t="s">
        <v>175</v>
      </c>
      <c r="J25" s="191" t="s">
        <v>175</v>
      </c>
    </row>
    <row r="26" spans="1:13" ht="13.5" thickBot="1" x14ac:dyDescent="0.35">
      <c r="A26" s="177"/>
      <c r="B26" s="190" t="s">
        <v>174</v>
      </c>
      <c r="C26" s="198" t="s">
        <v>173</v>
      </c>
      <c r="D26" s="189" t="s">
        <v>172</v>
      </c>
      <c r="E26" s="188" t="s">
        <v>171</v>
      </c>
      <c r="F26" s="187" t="s">
        <v>170</v>
      </c>
      <c r="G26" s="187" t="s">
        <v>169</v>
      </c>
      <c r="H26" s="186" t="s">
        <v>163</v>
      </c>
      <c r="I26" s="186" t="s">
        <v>168</v>
      </c>
      <c r="J26" s="185" t="s">
        <v>167</v>
      </c>
    </row>
    <row r="27" spans="1:13" ht="13.5" thickBot="1" x14ac:dyDescent="0.35">
      <c r="A27" s="184" t="s">
        <v>166</v>
      </c>
      <c r="B27" s="178">
        <f>Summary!J11</f>
        <v>44805</v>
      </c>
      <c r="C27" s="183">
        <f>ROUND(IF((B27=0),0,(B28-B27))/30,0)</f>
        <v>12</v>
      </c>
      <c r="D27" s="182">
        <f>Summary!J102</f>
        <v>79604</v>
      </c>
      <c r="E27" s="181">
        <f>IF(ISERROR(D27/F32),0,(D27/F32))</f>
        <v>218.09315068493152</v>
      </c>
      <c r="F27" s="173">
        <f>IF(OR($B$28&lt;$K17,$B$27&gt;$L17),0,(MIN($B$28,$L17)-MAX($B$27,$K17)+1))</f>
        <v>0</v>
      </c>
      <c r="G27" s="173">
        <f>ROUND(IF(ISERROR(F27/365),0,(F27/365))*12,0)</f>
        <v>0</v>
      </c>
      <c r="H27" s="172">
        <f>IF(OR($B$28&lt;$K17,$B$27&gt;$L17),0,M17)</f>
        <v>0</v>
      </c>
      <c r="I27" s="171">
        <f>(F27*$E$27)*H27</f>
        <v>0</v>
      </c>
      <c r="J27" s="170">
        <f>IF(ISERROR(I27/H27),0,(I27/H27))</f>
        <v>0</v>
      </c>
    </row>
    <row r="28" spans="1:13" ht="13.5" thickBot="1" x14ac:dyDescent="0.35">
      <c r="A28" s="179" t="s">
        <v>165</v>
      </c>
      <c r="B28" s="178">
        <f>Summary!K11</f>
        <v>45169</v>
      </c>
      <c r="D28" s="175"/>
      <c r="E28" s="174"/>
      <c r="F28" s="173">
        <f>IF(OR($B$28&lt;$K18,$B$27&gt;$L18),0,(MIN($B$28,$L18)-MAX($B$27,$K18)+1))</f>
        <v>0</v>
      </c>
      <c r="G28" s="173">
        <f>ROUND(IF(ISERROR(F28/365),0,(F28/365))*12,0)</f>
        <v>0</v>
      </c>
      <c r="H28" s="172">
        <f>IF(OR($B$28&lt;$K18,$B$27&gt;$L18),0,M18)</f>
        <v>0</v>
      </c>
      <c r="I28" s="171">
        <f>(F28*$E$27)*H28</f>
        <v>0</v>
      </c>
      <c r="J28" s="170">
        <f>IF(ISERROR(I28/H28),0,(I28/H28))</f>
        <v>0</v>
      </c>
    </row>
    <row r="29" spans="1:13" x14ac:dyDescent="0.25">
      <c r="C29" s="176"/>
      <c r="D29" s="175"/>
      <c r="E29" s="174"/>
      <c r="F29" s="173">
        <f>IF(OR($B$28&lt;$K19,$B$27&gt;$L19),0,(MIN($B$28,$L19)-MAX($B$27,$K19)+1))</f>
        <v>0</v>
      </c>
      <c r="G29" s="173">
        <f>ROUND(IF(ISERROR(F29/365),0,(F29/365))*12,0)</f>
        <v>0</v>
      </c>
      <c r="H29" s="172">
        <f>IF(OR($B$28&lt;$K19,$B$27&gt;$L19),0,M19)</f>
        <v>0</v>
      </c>
      <c r="I29" s="171">
        <f>(F29*$E$27)*H29</f>
        <v>0</v>
      </c>
      <c r="J29" s="170">
        <f>IF(ISERROR(I29/H29),0,(I29/H29))</f>
        <v>0</v>
      </c>
    </row>
    <row r="30" spans="1:13" x14ac:dyDescent="0.25">
      <c r="A30" s="177"/>
      <c r="C30" s="176"/>
      <c r="D30" s="175"/>
      <c r="E30" s="174"/>
      <c r="F30" s="173">
        <f>IF(OR($B$28&lt;$K20,$B$27&gt;$L20),0,(MIN($B$28,$L20)-MAX($B$27,$K20)+1))</f>
        <v>0</v>
      </c>
      <c r="G30" s="173">
        <f>ROUND(IF(ISERROR(F30/365),0,(F30/365))*12,0)</f>
        <v>0</v>
      </c>
      <c r="H30" s="172">
        <f>IF(OR($B$28&lt;$K20,$B$27&gt;$L20),0,M20)</f>
        <v>0</v>
      </c>
      <c r="I30" s="171">
        <f>(F30*$E$27)*H30</f>
        <v>0</v>
      </c>
      <c r="J30" s="170">
        <f>IF(ISERROR(I30/H30),0,(I30/H30))</f>
        <v>0</v>
      </c>
    </row>
    <row r="31" spans="1:13" x14ac:dyDescent="0.25">
      <c r="B31" s="169"/>
      <c r="C31" s="168"/>
      <c r="D31" s="167"/>
      <c r="E31" s="166"/>
      <c r="F31" s="165">
        <f>IF(OR($B$28&lt;$K21,$B$27&gt;$L21),0,(MIN($B$28,$L21)-MAX($B$27,$K21)+1))</f>
        <v>365</v>
      </c>
      <c r="G31" s="165">
        <f>ROUND(IF(ISERROR(F31/365),0,(F31/365))*12,0)</f>
        <v>12</v>
      </c>
      <c r="H31" s="164">
        <f>IF(OR($B$28&lt;$K21,$B$27&gt;$L21),0,M21)</f>
        <v>0.53</v>
      </c>
      <c r="I31" s="163">
        <f>(F31*$E$27)*H31</f>
        <v>42190.12</v>
      </c>
      <c r="J31" s="162">
        <f>IF(ISERROR(I31/H31),0,(I31/H31))</f>
        <v>79604</v>
      </c>
    </row>
    <row r="32" spans="1:13" ht="13" x14ac:dyDescent="0.3">
      <c r="B32" s="161" t="s">
        <v>164</v>
      </c>
      <c r="C32" s="160"/>
      <c r="D32" s="159">
        <f>SUM(D27:D31)</f>
        <v>79604</v>
      </c>
      <c r="E32" s="158"/>
      <c r="F32" s="157">
        <f>SUM(F27:F31)</f>
        <v>365</v>
      </c>
      <c r="G32" s="156">
        <f>SUM(G27:G31)</f>
        <v>12</v>
      </c>
      <c r="H32" s="155">
        <f>AVERAGEIF(H27:H31,"&lt;&gt;0")</f>
        <v>0.53</v>
      </c>
      <c r="I32" s="154">
        <f>SUM(I27:I31)</f>
        <v>42190.12</v>
      </c>
      <c r="J32" s="153">
        <f>SUM(J27:J31)</f>
        <v>79604</v>
      </c>
      <c r="K32" s="195"/>
    </row>
    <row r="33" spans="1:12" x14ac:dyDescent="0.25">
      <c r="F33" s="192"/>
      <c r="K33" s="195"/>
    </row>
    <row r="34" spans="1:12" x14ac:dyDescent="0.25">
      <c r="C34" s="197"/>
      <c r="F34" s="192"/>
      <c r="K34" s="195"/>
    </row>
    <row r="35" spans="1:12" ht="13.5" thickBot="1" x14ac:dyDescent="0.35">
      <c r="A35" s="194" t="s">
        <v>182</v>
      </c>
      <c r="B35" s="190" t="s">
        <v>177</v>
      </c>
      <c r="C35" s="191" t="s">
        <v>175</v>
      </c>
      <c r="D35" s="193" t="s">
        <v>176</v>
      </c>
      <c r="E35" s="191" t="s">
        <v>175</v>
      </c>
      <c r="F35" s="192"/>
      <c r="G35" s="191" t="s">
        <v>175</v>
      </c>
      <c r="H35" s="177"/>
      <c r="I35" s="191" t="s">
        <v>175</v>
      </c>
      <c r="J35" s="191" t="s">
        <v>175</v>
      </c>
    </row>
    <row r="36" spans="1:12" ht="13.5" thickBot="1" x14ac:dyDescent="0.35">
      <c r="A36" s="177"/>
      <c r="B36" s="190" t="s">
        <v>174</v>
      </c>
      <c r="C36" s="187" t="s">
        <v>173</v>
      </c>
      <c r="D36" s="189" t="s">
        <v>172</v>
      </c>
      <c r="E36" s="188" t="s">
        <v>171</v>
      </c>
      <c r="F36" s="187" t="s">
        <v>170</v>
      </c>
      <c r="G36" s="187" t="s">
        <v>169</v>
      </c>
      <c r="H36" s="186" t="s">
        <v>163</v>
      </c>
      <c r="I36" s="186" t="s">
        <v>168</v>
      </c>
      <c r="J36" s="185" t="s">
        <v>167</v>
      </c>
    </row>
    <row r="37" spans="1:12" ht="13.5" thickBot="1" x14ac:dyDescent="0.35">
      <c r="A37" s="184" t="s">
        <v>166</v>
      </c>
      <c r="B37" s="178">
        <f>Summary!L11</f>
        <v>45170</v>
      </c>
      <c r="C37" s="183">
        <f>ROUND(IF((B37=0),0,(B38-B37))/30,0)</f>
        <v>12</v>
      </c>
      <c r="D37" s="182">
        <f>Summary!L102</f>
        <v>81963</v>
      </c>
      <c r="E37" s="181">
        <f>IF(ISERROR(D37/F42),0,(D37/F42))</f>
        <v>223.94262295081967</v>
      </c>
      <c r="F37" s="180">
        <f>IF(OR($B$38&lt;$K17,$B$37&gt;$L17),0,(MIN($B$38,$L17)-MAX($B$37,$K17)+1))</f>
        <v>0</v>
      </c>
      <c r="G37" s="173">
        <f>ROUND(IF(ISERROR(F37/365),0,(F37/365))*12,0)</f>
        <v>0</v>
      </c>
      <c r="H37" s="172">
        <f>IF(OR($B$38&lt;$K17,$B$37&gt;$L17),0,M17)</f>
        <v>0</v>
      </c>
      <c r="I37" s="171">
        <f>(F37*$E$37)*H37</f>
        <v>0</v>
      </c>
      <c r="J37" s="170">
        <f>IF(ISERROR(I37/H37),0,(I37/H37))</f>
        <v>0</v>
      </c>
    </row>
    <row r="38" spans="1:12" ht="13.5" thickBot="1" x14ac:dyDescent="0.35">
      <c r="A38" s="179" t="s">
        <v>165</v>
      </c>
      <c r="B38" s="178">
        <f>Summary!M11</f>
        <v>45535</v>
      </c>
      <c r="D38" s="175"/>
      <c r="E38" s="174"/>
      <c r="F38" s="173">
        <f>IF(OR($B$38&lt;$K18,$B$37&gt;$L18),0,(MIN($B$38,$L18)-MAX($B$37,$K18)+1))</f>
        <v>0</v>
      </c>
      <c r="G38" s="173">
        <f>ROUND(IF(ISERROR(F38/365),0,(F38/365))*12,0)</f>
        <v>0</v>
      </c>
      <c r="H38" s="172">
        <f>IF(OR($B$38&lt;$K18,$B$37&gt;$L18),0,M18)</f>
        <v>0</v>
      </c>
      <c r="I38" s="171">
        <f>(F38*$E$37)*H38</f>
        <v>0</v>
      </c>
      <c r="J38" s="170">
        <f>IF(ISERROR(I38/H38),0,(I38/H38))</f>
        <v>0</v>
      </c>
      <c r="K38" s="195"/>
      <c r="L38" s="195"/>
    </row>
    <row r="39" spans="1:12" x14ac:dyDescent="0.25">
      <c r="C39" s="176"/>
      <c r="D39" s="175"/>
      <c r="E39" s="174"/>
      <c r="F39" s="173">
        <f>IF(OR($B$38&lt;$K19,$B$37&gt;$L19),0,(MIN($B$38,$L19)-MAX($B$37,$K19)+1))</f>
        <v>0</v>
      </c>
      <c r="G39" s="173">
        <f>ROUND(IF(ISERROR(F39/365),0,(F39/365))*12,0)</f>
        <v>0</v>
      </c>
      <c r="H39" s="172">
        <f>IF(OR($B$38&lt;$K19,$B$37&gt;$L19),0,M19)</f>
        <v>0</v>
      </c>
      <c r="I39" s="171">
        <f>(F39*$E$37)*H39</f>
        <v>0</v>
      </c>
      <c r="J39" s="170">
        <f>IF(ISERROR(I39/H39),0,(I39/H39))</f>
        <v>0</v>
      </c>
      <c r="K39" s="195"/>
      <c r="L39" s="195"/>
    </row>
    <row r="40" spans="1:12" x14ac:dyDescent="0.25">
      <c r="A40" s="177"/>
      <c r="C40" s="176"/>
      <c r="D40" s="175"/>
      <c r="E40" s="174"/>
      <c r="F40" s="173">
        <f>IF(OR($B$38&lt;$K20,$B$37&gt;$L20),0,(MIN($B$38,$L20)-MAX($B$37,$K20)+1))</f>
        <v>0</v>
      </c>
      <c r="G40" s="173">
        <f>ROUND(IF(ISERROR(F40/365),0,(F40/365))*12,0)</f>
        <v>0</v>
      </c>
      <c r="H40" s="172">
        <f>IF(OR($B$38&lt;$K20,$B$37&gt;$L20),0,M20)</f>
        <v>0</v>
      </c>
      <c r="I40" s="171">
        <f>(F40*$E$37)*H40</f>
        <v>0</v>
      </c>
      <c r="J40" s="170">
        <f>IF(ISERROR(I40/H40),0,(I40/H40))</f>
        <v>0</v>
      </c>
      <c r="K40" s="195"/>
      <c r="L40" s="195"/>
    </row>
    <row r="41" spans="1:12" x14ac:dyDescent="0.25">
      <c r="B41" s="169"/>
      <c r="C41" s="168"/>
      <c r="D41" s="167"/>
      <c r="E41" s="166"/>
      <c r="F41" s="165">
        <f>IF(OR($B$38&lt;$K21,$B$37&gt;$L21),0,(MIN($B$38,$L21)-MAX($B$37,$K21)+1))</f>
        <v>366</v>
      </c>
      <c r="G41" s="165">
        <f>ROUND(IF(ISERROR(F41/365),0,(F41/365))*12,0)</f>
        <v>12</v>
      </c>
      <c r="H41" s="164">
        <f>IF(OR($B$38&lt;$K21,$B$37&gt;$L21),0,M21)</f>
        <v>0.53</v>
      </c>
      <c r="I41" s="163">
        <f>(F41*$E$37)*H41</f>
        <v>43440.39</v>
      </c>
      <c r="J41" s="162">
        <f>IF(ISERROR(I41/H41),0,(I41/H41))</f>
        <v>81963</v>
      </c>
    </row>
    <row r="42" spans="1:12" ht="13" x14ac:dyDescent="0.3">
      <c r="B42" s="161" t="s">
        <v>164</v>
      </c>
      <c r="C42" s="160"/>
      <c r="D42" s="159">
        <f>SUM(D37:D41)</f>
        <v>81963</v>
      </c>
      <c r="E42" s="158"/>
      <c r="F42" s="157">
        <f>SUM(F37:F41)</f>
        <v>366</v>
      </c>
      <c r="G42" s="156">
        <f>SUM(G37:G41)</f>
        <v>12</v>
      </c>
      <c r="H42" s="155">
        <f>AVERAGEIF(H37:H41,"&lt;&gt;0")</f>
        <v>0.53</v>
      </c>
      <c r="I42" s="154">
        <f>SUM(I37:I41)</f>
        <v>43440.39</v>
      </c>
      <c r="J42" s="153">
        <f>SUM(J37:J41)</f>
        <v>81963</v>
      </c>
      <c r="K42" s="195"/>
    </row>
    <row r="43" spans="1:12" x14ac:dyDescent="0.25">
      <c r="F43" s="192"/>
      <c r="K43" s="195"/>
    </row>
    <row r="44" spans="1:12" x14ac:dyDescent="0.25">
      <c r="F44" s="192"/>
    </row>
    <row r="45" spans="1:12" ht="13.5" thickBot="1" x14ac:dyDescent="0.35">
      <c r="A45" s="194" t="s">
        <v>181</v>
      </c>
      <c r="B45" s="190" t="s">
        <v>177</v>
      </c>
      <c r="C45" s="191" t="s">
        <v>175</v>
      </c>
      <c r="D45" s="193" t="s">
        <v>176</v>
      </c>
      <c r="E45" s="191" t="s">
        <v>175</v>
      </c>
      <c r="F45" s="192"/>
      <c r="G45" s="191" t="s">
        <v>175</v>
      </c>
      <c r="H45" s="177"/>
      <c r="I45" s="191" t="s">
        <v>175</v>
      </c>
      <c r="J45" s="191" t="s">
        <v>175</v>
      </c>
      <c r="K45" s="195"/>
    </row>
    <row r="46" spans="1:12" ht="13.5" thickBot="1" x14ac:dyDescent="0.35">
      <c r="A46" s="177"/>
      <c r="B46" s="190" t="s">
        <v>174</v>
      </c>
      <c r="C46" s="187" t="s">
        <v>173</v>
      </c>
      <c r="D46" s="189" t="s">
        <v>172</v>
      </c>
      <c r="E46" s="188" t="s">
        <v>171</v>
      </c>
      <c r="F46" s="187" t="s">
        <v>170</v>
      </c>
      <c r="G46" s="187" t="s">
        <v>169</v>
      </c>
      <c r="H46" s="186" t="s">
        <v>163</v>
      </c>
      <c r="I46" s="186" t="s">
        <v>168</v>
      </c>
      <c r="J46" s="185" t="s">
        <v>167</v>
      </c>
    </row>
    <row r="47" spans="1:12" ht="13.5" thickBot="1" x14ac:dyDescent="0.35">
      <c r="A47" s="184" t="s">
        <v>166</v>
      </c>
      <c r="B47" s="178">
        <f>Summary!N11</f>
        <v>45536</v>
      </c>
      <c r="C47" s="183">
        <f>ROUND(IF((B47=0),0,(B48-B47))/30,0)</f>
        <v>12</v>
      </c>
      <c r="D47" s="182">
        <f>Summary!N102</f>
        <v>84393</v>
      </c>
      <c r="E47" s="181">
        <f>IF(ISERROR(D47/F52),0,(D47/F52))</f>
        <v>231.21369863013697</v>
      </c>
      <c r="F47" s="180">
        <f>IF(OR($B$48&lt;$K17,$B$47&gt;$L17),0,(MIN($B$48,$L17)-MAX($B$47,$K17)+1))</f>
        <v>0</v>
      </c>
      <c r="G47" s="173">
        <f>ROUND(IF(ISERROR(F47/365),0,(F47/365))*12,0)</f>
        <v>0</v>
      </c>
      <c r="H47" s="172">
        <f>IF(OR($B$48&lt;$K17,$B$47&gt;$L17),0,M17)</f>
        <v>0</v>
      </c>
      <c r="I47" s="171">
        <f>(F47*$E$47)*H47</f>
        <v>0</v>
      </c>
      <c r="J47" s="170">
        <f>IF(ISERROR(I47/H47),0,(I47/H47))</f>
        <v>0</v>
      </c>
    </row>
    <row r="48" spans="1:12" ht="13.5" thickBot="1" x14ac:dyDescent="0.35">
      <c r="A48" s="179" t="s">
        <v>165</v>
      </c>
      <c r="B48" s="178">
        <f>Summary!O11</f>
        <v>45900</v>
      </c>
      <c r="D48" s="175"/>
      <c r="E48" s="174"/>
      <c r="F48" s="173">
        <f>IF(OR($B$48&lt;$K18,$B$47&gt;$L18),0,(MIN($B$48,$L18)-MAX($B$47,$K18)+1))</f>
        <v>0</v>
      </c>
      <c r="G48" s="173">
        <f>ROUND(IF(ISERROR(F48/365),0,(F48/365))*12,0)</f>
        <v>0</v>
      </c>
      <c r="H48" s="172">
        <f>IF(OR($B$48&lt;$K18,$B$47&gt;$L18),0,M18)</f>
        <v>0</v>
      </c>
      <c r="I48" s="171">
        <f>(F48*$E$47)*H48</f>
        <v>0</v>
      </c>
      <c r="J48" s="170">
        <f>IF(ISERROR(I48/H48),0,(I48/H48))</f>
        <v>0</v>
      </c>
      <c r="K48" s="196"/>
    </row>
    <row r="49" spans="1:11" x14ac:dyDescent="0.25">
      <c r="C49" s="176"/>
      <c r="D49" s="175"/>
      <c r="E49" s="174"/>
      <c r="F49" s="173">
        <f>IF(OR($B$48&lt;$K19,$B$47&gt;$L19),0,(MIN($B$48,$L19)-MAX($B$47,$K19)+1))</f>
        <v>0</v>
      </c>
      <c r="G49" s="173">
        <f>ROUND(IF(ISERROR(F49/365),0,(F49/365))*12,0)</f>
        <v>0</v>
      </c>
      <c r="H49" s="172">
        <f>IF(OR($B$48&lt;$K19,$B$47&gt;$L19),0,M19)</f>
        <v>0</v>
      </c>
      <c r="I49" s="171">
        <f>(F49*$E$47)*H49</f>
        <v>0</v>
      </c>
      <c r="J49" s="170">
        <f>IF(ISERROR(I49/H49),0,(I49/H49))</f>
        <v>0</v>
      </c>
    </row>
    <row r="50" spans="1:11" x14ac:dyDescent="0.25">
      <c r="A50" s="177"/>
      <c r="C50" s="176"/>
      <c r="D50" s="175"/>
      <c r="E50" s="174"/>
      <c r="F50" s="173">
        <f>IF(OR($B$48&lt;$K20,$B$47&gt;$L20),0,(MIN($B$48,$L20)-MAX($B$47,$K20)+1))</f>
        <v>0</v>
      </c>
      <c r="G50" s="173">
        <f>ROUND(IF(ISERROR(F50/365),0,(F50/365))*12,0)</f>
        <v>0</v>
      </c>
      <c r="H50" s="172">
        <f>IF(OR($B$48&lt;$K20,$B$47&gt;$L20),0,M20)</f>
        <v>0</v>
      </c>
      <c r="I50" s="171">
        <f>(F50*$E$47)*H50</f>
        <v>0</v>
      </c>
      <c r="J50" s="170">
        <f>IF(ISERROR(I50/H50),0,(I50/H50))</f>
        <v>0</v>
      </c>
      <c r="K50" s="196"/>
    </row>
    <row r="51" spans="1:11" x14ac:dyDescent="0.25">
      <c r="B51" s="169"/>
      <c r="C51" s="168"/>
      <c r="D51" s="167"/>
      <c r="E51" s="166"/>
      <c r="F51" s="165">
        <f>IF(OR($B$48&lt;$K21,$B$47&gt;$L21),0,(MIN($B$48,$L21)-MAX($B$47,$K21)+1))</f>
        <v>365</v>
      </c>
      <c r="G51" s="165">
        <f>ROUND(IF(ISERROR(F51/365),0,(F51/365))*12,0)</f>
        <v>12</v>
      </c>
      <c r="H51" s="164">
        <f>IF(OR($B$48&lt;$K21,$B$47&gt;$L21),0,M21)</f>
        <v>0.53</v>
      </c>
      <c r="I51" s="163">
        <f>(F51*$E$47)*H51</f>
        <v>44728.29</v>
      </c>
      <c r="J51" s="162">
        <f>IF(ISERROR(I51/H51),0,(I51/H51))</f>
        <v>84393</v>
      </c>
    </row>
    <row r="52" spans="1:11" ht="13" x14ac:dyDescent="0.3">
      <c r="B52" s="161" t="s">
        <v>164</v>
      </c>
      <c r="C52" s="160"/>
      <c r="D52" s="159">
        <f>SUM(D47:D51)</f>
        <v>84393</v>
      </c>
      <c r="E52" s="158"/>
      <c r="F52" s="157">
        <f>SUM(F47:F51)</f>
        <v>365</v>
      </c>
      <c r="G52" s="156">
        <f>SUM(G47:G51)</f>
        <v>12</v>
      </c>
      <c r="H52" s="155">
        <f>AVERAGEIF(H47:H51,"&lt;&gt;0")</f>
        <v>0.53</v>
      </c>
      <c r="I52" s="154">
        <f>SUM(I47:I51)</f>
        <v>44728.29</v>
      </c>
      <c r="J52" s="153">
        <f>SUM(J47:J51)</f>
        <v>84393</v>
      </c>
    </row>
    <row r="53" spans="1:11" x14ac:dyDescent="0.25">
      <c r="F53" s="192"/>
    </row>
    <row r="54" spans="1:11" x14ac:dyDescent="0.25">
      <c r="F54" s="192"/>
    </row>
    <row r="55" spans="1:11" ht="13.5" thickBot="1" x14ac:dyDescent="0.35">
      <c r="A55" s="194" t="s">
        <v>180</v>
      </c>
      <c r="B55" s="190" t="s">
        <v>177</v>
      </c>
      <c r="C55" s="191" t="s">
        <v>175</v>
      </c>
      <c r="D55" s="193" t="s">
        <v>176</v>
      </c>
      <c r="E55" s="191" t="s">
        <v>175</v>
      </c>
      <c r="F55" s="192"/>
      <c r="G55" s="191" t="s">
        <v>175</v>
      </c>
      <c r="H55" s="177"/>
      <c r="I55" s="191" t="s">
        <v>175</v>
      </c>
      <c r="J55" s="191" t="s">
        <v>175</v>
      </c>
    </row>
    <row r="56" spans="1:11" ht="13.5" thickBot="1" x14ac:dyDescent="0.35">
      <c r="A56" s="177"/>
      <c r="B56" s="190" t="s">
        <v>174</v>
      </c>
      <c r="C56" s="187" t="s">
        <v>173</v>
      </c>
      <c r="D56" s="189" t="s">
        <v>172</v>
      </c>
      <c r="E56" s="188" t="s">
        <v>171</v>
      </c>
      <c r="F56" s="187" t="s">
        <v>170</v>
      </c>
      <c r="G56" s="187" t="s">
        <v>169</v>
      </c>
      <c r="H56" s="186" t="s">
        <v>163</v>
      </c>
      <c r="I56" s="186" t="s">
        <v>168</v>
      </c>
      <c r="J56" s="185" t="s">
        <v>167</v>
      </c>
      <c r="K56" s="195"/>
    </row>
    <row r="57" spans="1:11" ht="13.5" thickBot="1" x14ac:dyDescent="0.35">
      <c r="A57" s="184" t="s">
        <v>166</v>
      </c>
      <c r="B57" s="178">
        <f>Summary!P11</f>
        <v>45901</v>
      </c>
      <c r="C57" s="183">
        <f>ROUND(IF((B57=0),0,(B58-B57))/30,0)</f>
        <v>12</v>
      </c>
      <c r="D57" s="182">
        <f>Summary!P102</f>
        <v>0</v>
      </c>
      <c r="E57" s="181">
        <f>IF(ISERROR(D57/F62),0,(D57/F62))</f>
        <v>0</v>
      </c>
      <c r="F57" s="180">
        <f>IF(OR($B$58&lt;$K17,$B$57&gt;$L17),0,(MIN($B$58,$L17)-MAX($B$57,$K17)+1))</f>
        <v>0</v>
      </c>
      <c r="G57" s="173">
        <f>ROUND(IF(ISERROR(F57/365),0,(F57/365))*12,0)</f>
        <v>0</v>
      </c>
      <c r="H57" s="172">
        <f>IF(OR($B$58&lt;$K17,$B$57&gt;$L17),0,M17)</f>
        <v>0</v>
      </c>
      <c r="I57" s="171">
        <f>(F57*$E$57)*H57</f>
        <v>0</v>
      </c>
      <c r="J57" s="170">
        <f>IF(ISERROR(I57/H57),0,(I57/H57))</f>
        <v>0</v>
      </c>
    </row>
    <row r="58" spans="1:11" ht="13.5" thickBot="1" x14ac:dyDescent="0.35">
      <c r="A58" s="179" t="s">
        <v>165</v>
      </c>
      <c r="B58" s="178">
        <f>Summary!Q11</f>
        <v>46265</v>
      </c>
      <c r="D58" s="175"/>
      <c r="E58" s="174"/>
      <c r="F58" s="173">
        <f>IF(OR($B$58&lt;$K18,$B$57&gt;$L18),0,(MIN($B$58,$L18)-MAX($B$57,$K18)+1))</f>
        <v>0</v>
      </c>
      <c r="G58" s="173">
        <f>ROUND(IF(ISERROR(F58/365),0,(F58/365))*12,0)</f>
        <v>0</v>
      </c>
      <c r="H58" s="172">
        <f>IF(OR($B$58&lt;$K18,$B$57&gt;$L18),0,M18)</f>
        <v>0</v>
      </c>
      <c r="I58" s="171">
        <f>(F58*$E$57)*H58</f>
        <v>0</v>
      </c>
      <c r="J58" s="170">
        <f>IF(ISERROR(I58/H58),0,(I58/H58))</f>
        <v>0</v>
      </c>
    </row>
    <row r="59" spans="1:11" x14ac:dyDescent="0.25">
      <c r="C59" s="176"/>
      <c r="D59" s="175"/>
      <c r="E59" s="174"/>
      <c r="F59" s="173">
        <f>IF(OR($B$58&lt;$K19,$B$57&gt;$L19),0,(MIN($B$58,$L19)-MAX($B$57,$K19)+1))</f>
        <v>0</v>
      </c>
      <c r="G59" s="173">
        <f>ROUND(IF(ISERROR(F59/365),0,(F59/365))*12,0)</f>
        <v>0</v>
      </c>
      <c r="H59" s="172">
        <f>IF(OR($B$58&lt;$K19,$B$57&gt;$L19),0,M19)</f>
        <v>0</v>
      </c>
      <c r="I59" s="171">
        <f>(F59*$E$57)*H59</f>
        <v>0</v>
      </c>
      <c r="J59" s="170">
        <f>IF(ISERROR(I59/H59),0,(I59/H59))</f>
        <v>0</v>
      </c>
    </row>
    <row r="60" spans="1:11" x14ac:dyDescent="0.25">
      <c r="A60" s="177"/>
      <c r="C60" s="176"/>
      <c r="D60" s="175"/>
      <c r="E60" s="174"/>
      <c r="F60" s="173">
        <f>IF(OR($B$58&lt;$K20,$B$57&gt;$L20),0,(MIN($B$58,$L20)-MAX($B$57,$K20)+1))</f>
        <v>0</v>
      </c>
      <c r="G60" s="173">
        <f>ROUND(IF(ISERROR(F60/365),0,(F60/365))*12,0)</f>
        <v>0</v>
      </c>
      <c r="H60" s="172">
        <f>IF(OR($B$58&lt;$K20,$B$57&gt;$L20),0,M20)</f>
        <v>0</v>
      </c>
      <c r="I60" s="171">
        <f>(F60*$E$57)*H60</f>
        <v>0</v>
      </c>
      <c r="J60" s="170">
        <f>IF(ISERROR(I60/H60),0,(I60/H60))</f>
        <v>0</v>
      </c>
    </row>
    <row r="61" spans="1:11" x14ac:dyDescent="0.25">
      <c r="B61" s="169"/>
      <c r="C61" s="168"/>
      <c r="D61" s="167"/>
      <c r="E61" s="166"/>
      <c r="F61" s="165">
        <f>IF(OR($B$58&lt;$K21,$B$57&gt;$L21),0,(MIN($B$58,$L21)-MAX($B$57,$K21)+1))</f>
        <v>365</v>
      </c>
      <c r="G61" s="165">
        <f>ROUND(IF(ISERROR(F61/365),0,(F61/365))*12,0)</f>
        <v>12</v>
      </c>
      <c r="H61" s="164">
        <f>IF(OR($B$58&lt;$K21,$B$57&gt;$L21),0,M21)</f>
        <v>0.53</v>
      </c>
      <c r="I61" s="163">
        <f>(F61*$E$57)*H61</f>
        <v>0</v>
      </c>
      <c r="J61" s="162">
        <f>IF(ISERROR(I61/H61),0,(I61/H61))</f>
        <v>0</v>
      </c>
    </row>
    <row r="62" spans="1:11" ht="13" x14ac:dyDescent="0.3">
      <c r="B62" s="161" t="s">
        <v>164</v>
      </c>
      <c r="C62" s="160"/>
      <c r="D62" s="159">
        <f>SUM(D57:D61)</f>
        <v>0</v>
      </c>
      <c r="E62" s="158"/>
      <c r="F62" s="157">
        <f>SUM(F57:F61)</f>
        <v>365</v>
      </c>
      <c r="G62" s="156">
        <f>SUM(G57:G61)</f>
        <v>12</v>
      </c>
      <c r="H62" s="155">
        <f>AVERAGEIF(H57:H61,"&lt;&gt;0")</f>
        <v>0.53</v>
      </c>
      <c r="I62" s="154">
        <f>SUM(I57:I61)</f>
        <v>0</v>
      </c>
      <c r="J62" s="153">
        <f>SUM(J57:J61)</f>
        <v>0</v>
      </c>
    </row>
    <row r="63" spans="1:11" x14ac:dyDescent="0.25">
      <c r="F63" s="192"/>
    </row>
    <row r="64" spans="1:11" x14ac:dyDescent="0.25">
      <c r="F64" s="192"/>
    </row>
    <row r="65" spans="1:10" ht="13.5" thickBot="1" x14ac:dyDescent="0.35">
      <c r="A65" s="194" t="s">
        <v>179</v>
      </c>
      <c r="B65" s="190" t="s">
        <v>177</v>
      </c>
      <c r="C65" s="191" t="s">
        <v>175</v>
      </c>
      <c r="D65" s="193" t="s">
        <v>176</v>
      </c>
      <c r="E65" s="191" t="s">
        <v>175</v>
      </c>
      <c r="F65" s="192"/>
      <c r="G65" s="191" t="s">
        <v>175</v>
      </c>
      <c r="H65" s="177"/>
      <c r="I65" s="191" t="s">
        <v>175</v>
      </c>
      <c r="J65" s="191" t="s">
        <v>175</v>
      </c>
    </row>
    <row r="66" spans="1:10" ht="13.5" thickBot="1" x14ac:dyDescent="0.35">
      <c r="A66" s="177"/>
      <c r="B66" s="190" t="s">
        <v>174</v>
      </c>
      <c r="C66" s="187" t="s">
        <v>173</v>
      </c>
      <c r="D66" s="189" t="s">
        <v>172</v>
      </c>
      <c r="E66" s="188" t="s">
        <v>171</v>
      </c>
      <c r="F66" s="187" t="s">
        <v>170</v>
      </c>
      <c r="G66" s="187" t="s">
        <v>169</v>
      </c>
      <c r="H66" s="186" t="s">
        <v>163</v>
      </c>
      <c r="I66" s="186" t="s">
        <v>168</v>
      </c>
      <c r="J66" s="185" t="s">
        <v>167</v>
      </c>
    </row>
    <row r="67" spans="1:10" ht="13.5" thickBot="1" x14ac:dyDescent="0.35">
      <c r="A67" s="184" t="s">
        <v>166</v>
      </c>
      <c r="B67" s="178"/>
      <c r="C67" s="183">
        <f>ROUND(IF((B67=0),0,(B68-B67))/30,0)</f>
        <v>0</v>
      </c>
      <c r="D67" s="182">
        <v>0</v>
      </c>
      <c r="E67" s="181">
        <f>IF(ISERROR(D67/F72),0,(D67/F72))</f>
        <v>0</v>
      </c>
      <c r="F67" s="180">
        <f>IF(OR($B$68&lt;$K17,$B$67&gt;$L17),0,(MIN($B$68,$L17)-MAX($B$67,$K17)+1))</f>
        <v>0</v>
      </c>
      <c r="G67" s="173">
        <f>ROUND(IF(ISERROR(F67/365),0,(F67/365))*12,0)</f>
        <v>0</v>
      </c>
      <c r="H67" s="172">
        <f>IF(OR($B$68&lt;$K17,$B$67&gt;$L17),0,M17)</f>
        <v>0</v>
      </c>
      <c r="I67" s="171">
        <f>(F67*$E$67)*H67</f>
        <v>0</v>
      </c>
      <c r="J67" s="170">
        <f>IF(ISERROR(I67/H67),0,(I67/H67))</f>
        <v>0</v>
      </c>
    </row>
    <row r="68" spans="1:10" ht="13.5" thickBot="1" x14ac:dyDescent="0.35">
      <c r="A68" s="179" t="s">
        <v>165</v>
      </c>
      <c r="B68" s="178"/>
      <c r="D68" s="175"/>
      <c r="E68" s="174"/>
      <c r="F68" s="173">
        <f>IF(OR($B$68&lt;$K18,$B$67&gt;$L18),0,(MIN($B$68,$L18)-MAX($B$67,$K18)+1))</f>
        <v>0</v>
      </c>
      <c r="G68" s="173">
        <f>ROUND(IF(ISERROR(F68/365),0,(F68/365))*12,0)</f>
        <v>0</v>
      </c>
      <c r="H68" s="172">
        <f>IF(OR($B$68&lt;$K18,$B$67&gt;$L18),0,M18)</f>
        <v>0</v>
      </c>
      <c r="I68" s="171">
        <f>(F68*$E$67)*H68</f>
        <v>0</v>
      </c>
      <c r="J68" s="170">
        <f>IF(ISERROR(I68/H68),0,(I68/H68))</f>
        <v>0</v>
      </c>
    </row>
    <row r="69" spans="1:10" x14ac:dyDescent="0.25">
      <c r="C69" s="176"/>
      <c r="D69" s="175"/>
      <c r="E69" s="174"/>
      <c r="F69" s="173">
        <f>IF(OR($B$68&lt;$K19,$B$67&gt;$L19),0,(MIN($B$68,$L19)-MAX($B$67,$K19)+1))</f>
        <v>0</v>
      </c>
      <c r="G69" s="173">
        <f>ROUND(IF(ISERROR(F69/365),0,(F69/365))*12,0)</f>
        <v>0</v>
      </c>
      <c r="H69" s="172">
        <f>IF(OR($B$68&lt;$K19,$B$67&gt;$L19),0,M19)</f>
        <v>0</v>
      </c>
      <c r="I69" s="171">
        <f>(F69*$E$67)*H69</f>
        <v>0</v>
      </c>
      <c r="J69" s="170">
        <f>IF(ISERROR(I69/H69),0,(I69/H69))</f>
        <v>0</v>
      </c>
    </row>
    <row r="70" spans="1:10" x14ac:dyDescent="0.25">
      <c r="A70" s="177"/>
      <c r="C70" s="176"/>
      <c r="D70" s="175"/>
      <c r="E70" s="174"/>
      <c r="F70" s="173">
        <f>IF(OR($B$68&lt;$K20,$B$67&gt;$L20),0,(MIN($B$68,$L20)-MAX($B$67,$K20)+1))</f>
        <v>0</v>
      </c>
      <c r="G70" s="173">
        <f>ROUND(IF(ISERROR(F70/365),0,(F70/365))*12,0)</f>
        <v>0</v>
      </c>
      <c r="H70" s="172">
        <f>IF(OR($B$68&lt;$K20,$B$67&gt;$L20),0,M20)</f>
        <v>0</v>
      </c>
      <c r="I70" s="171">
        <f>(F70*$E$67)*H70</f>
        <v>0</v>
      </c>
      <c r="J70" s="170">
        <f>IF(ISERROR(I70/H70),0,(I70/H70))</f>
        <v>0</v>
      </c>
    </row>
    <row r="71" spans="1:10" x14ac:dyDescent="0.25">
      <c r="B71" s="169"/>
      <c r="C71" s="168"/>
      <c r="D71" s="167"/>
      <c r="E71" s="166"/>
      <c r="F71" s="165">
        <f>IF(OR($B$68&lt;$K21,$B$67&gt;$L21),0,(MIN($B$68,$L21)-MAX($B$67,$K21)+1))</f>
        <v>0</v>
      </c>
      <c r="G71" s="165">
        <f>ROUND(IF(ISERROR(F71/365),0,(F71/365))*12,0)</f>
        <v>0</v>
      </c>
      <c r="H71" s="164">
        <f>IF(OR($B$68&lt;$K21,$B$67&gt;$L21),0,M21)</f>
        <v>0</v>
      </c>
      <c r="I71" s="163">
        <f>(F71*$E$67)*H71</f>
        <v>0</v>
      </c>
      <c r="J71" s="162">
        <f>IF(ISERROR(I71/H71),0,(I71/H71))</f>
        <v>0</v>
      </c>
    </row>
    <row r="72" spans="1:10" ht="13" x14ac:dyDescent="0.3">
      <c r="B72" s="161" t="s">
        <v>164</v>
      </c>
      <c r="C72" s="160"/>
      <c r="D72" s="159">
        <f>SUM(D67:D71)</f>
        <v>0</v>
      </c>
      <c r="E72" s="158"/>
      <c r="F72" s="157">
        <f>SUM(F67:F71)</f>
        <v>0</v>
      </c>
      <c r="G72" s="156">
        <f>SUM(G67:G71)</f>
        <v>0</v>
      </c>
      <c r="H72" s="155" t="e">
        <f>AVERAGEIF(H67:H71,"&lt;&gt;0")</f>
        <v>#DIV/0!</v>
      </c>
      <c r="I72" s="154">
        <f>SUM(I67:I71)</f>
        <v>0</v>
      </c>
      <c r="J72" s="153">
        <f>SUM(J67:J71)</f>
        <v>0</v>
      </c>
    </row>
    <row r="73" spans="1:10" x14ac:dyDescent="0.25">
      <c r="F73" s="192"/>
    </row>
    <row r="74" spans="1:10" x14ac:dyDescent="0.25">
      <c r="F74" s="192"/>
    </row>
    <row r="75" spans="1:10" ht="13.5" thickBot="1" x14ac:dyDescent="0.35">
      <c r="A75" s="194" t="s">
        <v>178</v>
      </c>
      <c r="B75" s="190" t="s">
        <v>177</v>
      </c>
      <c r="C75" s="191" t="s">
        <v>175</v>
      </c>
      <c r="D75" s="193" t="s">
        <v>176</v>
      </c>
      <c r="E75" s="191" t="s">
        <v>175</v>
      </c>
      <c r="F75" s="192"/>
      <c r="G75" s="191" t="s">
        <v>175</v>
      </c>
      <c r="H75" s="177"/>
      <c r="I75" s="191" t="s">
        <v>175</v>
      </c>
      <c r="J75" s="191" t="s">
        <v>175</v>
      </c>
    </row>
    <row r="76" spans="1:10" ht="13.5" thickBot="1" x14ac:dyDescent="0.35">
      <c r="A76" s="177"/>
      <c r="B76" s="190" t="s">
        <v>174</v>
      </c>
      <c r="C76" s="187" t="s">
        <v>173</v>
      </c>
      <c r="D76" s="189" t="s">
        <v>172</v>
      </c>
      <c r="E76" s="188" t="s">
        <v>171</v>
      </c>
      <c r="F76" s="187" t="s">
        <v>170</v>
      </c>
      <c r="G76" s="187" t="s">
        <v>169</v>
      </c>
      <c r="H76" s="186" t="s">
        <v>163</v>
      </c>
      <c r="I76" s="186" t="s">
        <v>168</v>
      </c>
      <c r="J76" s="185" t="s">
        <v>167</v>
      </c>
    </row>
    <row r="77" spans="1:10" ht="13.5" thickBot="1" x14ac:dyDescent="0.35">
      <c r="A77" s="184" t="s">
        <v>166</v>
      </c>
      <c r="B77" s="178"/>
      <c r="C77" s="183">
        <f>ROUND(IF((B77=0),0,(B78-B77))/30,0)</f>
        <v>0</v>
      </c>
      <c r="D77" s="182">
        <v>0</v>
      </c>
      <c r="E77" s="181">
        <f>IF(ISERROR(D77/F82),0,(D77/F82))</f>
        <v>0</v>
      </c>
      <c r="F77" s="180">
        <f>IF(OR($B$78&lt;$K17,$B$77&gt;$L17),0,(MIN($B$78,$L17)-MAX($B$77,$K17)+1))</f>
        <v>0</v>
      </c>
      <c r="G77" s="173">
        <f>ROUND(IF(ISERROR(F77/365),0,(F77/365))*12,0)</f>
        <v>0</v>
      </c>
      <c r="H77" s="172">
        <f>IF(OR($B$78&lt;$K17,$B$77&gt;$L17),0,M17)</f>
        <v>0</v>
      </c>
      <c r="I77" s="171">
        <f>(F77*$E$77)*H77</f>
        <v>0</v>
      </c>
      <c r="J77" s="170">
        <f>IF(ISERROR(I77/H77),0,(I77/H77))</f>
        <v>0</v>
      </c>
    </row>
    <row r="78" spans="1:10" ht="13.5" thickBot="1" x14ac:dyDescent="0.35">
      <c r="A78" s="179" t="s">
        <v>165</v>
      </c>
      <c r="B78" s="178"/>
      <c r="D78" s="175"/>
      <c r="E78" s="174"/>
      <c r="F78" s="173">
        <f>IF(OR($B$78&lt;$K18,$B$77&gt;$L18),0,(MIN($B$78,$L18)-MAX($B$77,$K18)+1))</f>
        <v>0</v>
      </c>
      <c r="G78" s="173">
        <f>ROUND(IF(ISERROR(F78/365),0,(F78/365))*12,0)</f>
        <v>0</v>
      </c>
      <c r="H78" s="172">
        <f>IF(OR($B$78&lt;$K18,$B$77&gt;$L18),0,M18)</f>
        <v>0</v>
      </c>
      <c r="I78" s="171">
        <f>(F78*$E$77)*H78</f>
        <v>0</v>
      </c>
      <c r="J78" s="170">
        <f>IF(ISERROR(I78/H78),0,(I78/H78))</f>
        <v>0</v>
      </c>
    </row>
    <row r="79" spans="1:10" x14ac:dyDescent="0.25">
      <c r="C79" s="176"/>
      <c r="D79" s="175"/>
      <c r="E79" s="174"/>
      <c r="F79" s="173">
        <f>IF(OR($B$78&lt;$K19,$B$77&gt;$L19),0,(MIN($B$78,$L19)-MAX($B$77,$K19)+1))</f>
        <v>0</v>
      </c>
      <c r="G79" s="173">
        <f>ROUND(IF(ISERROR(F79/365),0,(F79/365))*12,0)</f>
        <v>0</v>
      </c>
      <c r="H79" s="172">
        <f>IF(OR($B$78&lt;$K19,$B$77&gt;$L19),0,M19)</f>
        <v>0</v>
      </c>
      <c r="I79" s="171">
        <f>(F79*$E$77)*H79</f>
        <v>0</v>
      </c>
      <c r="J79" s="170">
        <f>IF(ISERROR(I79/H79),0,(I79/H79))</f>
        <v>0</v>
      </c>
    </row>
    <row r="80" spans="1:10" x14ac:dyDescent="0.25">
      <c r="A80" s="177"/>
      <c r="C80" s="176"/>
      <c r="D80" s="175"/>
      <c r="E80" s="174"/>
      <c r="F80" s="173">
        <f>IF(OR($B$78&lt;$K20,$B$77&gt;$L20),0,(MIN($B$78,$L20)-MAX($B$77,$K20)+1))</f>
        <v>0</v>
      </c>
      <c r="G80" s="173">
        <f>ROUND(IF(ISERROR(F80/365),0,(F80/365))*12,0)</f>
        <v>0</v>
      </c>
      <c r="H80" s="172">
        <f>IF(OR($B$78&lt;$K20,$B$77&gt;$L20),0,M20)</f>
        <v>0</v>
      </c>
      <c r="I80" s="171">
        <f>(F80*$E$77)*H80</f>
        <v>0</v>
      </c>
      <c r="J80" s="170">
        <f>IF(ISERROR(I80/H80),0,(I80/H80))</f>
        <v>0</v>
      </c>
    </row>
    <row r="81" spans="2:10" x14ac:dyDescent="0.25">
      <c r="B81" s="169"/>
      <c r="C81" s="168"/>
      <c r="D81" s="167"/>
      <c r="E81" s="166"/>
      <c r="F81" s="165">
        <f>IF(OR($B$78&lt;$K21,$B$77&gt;$L21),0,(MIN($B$78,$L21)-MAX($B$77,$K21)+1))</f>
        <v>0</v>
      </c>
      <c r="G81" s="165">
        <f>ROUND(IF(ISERROR(F81/365),0,(F81/365))*12,0)</f>
        <v>0</v>
      </c>
      <c r="H81" s="164">
        <f>IF(OR($B$78&lt;$K21,$B$77&gt;$L21),0,M21)</f>
        <v>0</v>
      </c>
      <c r="I81" s="163">
        <f>(F81*$E$77)*H81</f>
        <v>0</v>
      </c>
      <c r="J81" s="162">
        <f>IF(ISERROR(I81/H81),0,(I81/H81))</f>
        <v>0</v>
      </c>
    </row>
    <row r="82" spans="2:10" ht="13" x14ac:dyDescent="0.3">
      <c r="B82" s="161" t="s">
        <v>164</v>
      </c>
      <c r="C82" s="160"/>
      <c r="D82" s="159">
        <f>SUM(D77:D81)</f>
        <v>0</v>
      </c>
      <c r="E82" s="158"/>
      <c r="F82" s="157">
        <f>SUM(F77:F81)</f>
        <v>0</v>
      </c>
      <c r="G82" s="156">
        <f>SUM(G77:G81)</f>
        <v>0</v>
      </c>
      <c r="H82" s="155" t="e">
        <f>AVERAGEIF(H77:H81,"&lt;&gt;0")</f>
        <v>#DIV/0!</v>
      </c>
      <c r="I82" s="154">
        <f>SUM(I77:I81)</f>
        <v>0</v>
      </c>
      <c r="J82" s="153">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xr:uid="{00000000-0002-0000-0100-000000000000}">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100-000001000000}">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100-000002000000}">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100-000003000000}">
      <formula1>IF(C57=0,D57=0,D57&gt;0)</formula1>
    </dataValidation>
    <dataValidation type="date" allowBlank="1" showInputMessage="1" showErrorMessage="1" errorTitle="Project Start Date" error="The Project Start date must be less than or equal to the Project End Date." sqref="B17" xr:uid="{00000000-0002-0000-0100-000004000000}">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100-000005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1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100-000007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100-000008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100-000009000000}">
      <formula1>IF(C57=0,D57=0,D57&gt;0)</formula1>
    </dataValidation>
  </dataValidations>
  <pageMargins left="0.7" right="0.7" top="0.75" bottom="0.75" header="0.3" footer="0.3"/>
  <pageSetup paperSize="17"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2"/>
  <sheetViews>
    <sheetView workbookViewId="0">
      <selection activeCell="K30" sqref="K30"/>
    </sheetView>
  </sheetViews>
  <sheetFormatPr defaultColWidth="16.26953125" defaultRowHeight="12.5" x14ac:dyDescent="0.25"/>
  <cols>
    <col min="1" max="1" width="25.81640625" style="152" bestFit="1" customWidth="1"/>
    <col min="2" max="2" width="11" style="152" customWidth="1"/>
    <col min="3" max="3" width="11.453125" style="152" hidden="1" customWidth="1"/>
    <col min="4" max="4" width="24.1796875" style="152" customWidth="1"/>
    <col min="5" max="5" width="16.26953125" style="152" bestFit="1" customWidth="1"/>
    <col min="6" max="6" width="11.81640625" style="152" bestFit="1" customWidth="1"/>
    <col min="7" max="7" width="13.81640625" style="152" hidden="1" customWidth="1"/>
    <col min="8" max="8" width="9" style="152" bestFit="1" customWidth="1"/>
    <col min="9" max="9" width="15.1796875" style="152" bestFit="1" customWidth="1"/>
    <col min="10" max="10" width="14" style="152" bestFit="1" customWidth="1"/>
    <col min="11" max="11" width="26.81640625" style="152" bestFit="1" customWidth="1"/>
    <col min="12" max="12" width="13.1796875" style="152" bestFit="1" customWidth="1"/>
    <col min="13" max="13" width="11.453125" style="152" bestFit="1" customWidth="1"/>
    <col min="14" max="16384" width="16.26953125" style="152"/>
  </cols>
  <sheetData>
    <row r="1" spans="1:13" ht="13" x14ac:dyDescent="0.3">
      <c r="D1" s="217" t="s">
        <v>198</v>
      </c>
    </row>
    <row r="3" spans="1:13" ht="13" x14ac:dyDescent="0.3">
      <c r="A3" s="217" t="s">
        <v>197</v>
      </c>
      <c r="B3" s="177" t="s">
        <v>196</v>
      </c>
    </row>
    <row r="4" spans="1:13" ht="13" x14ac:dyDescent="0.3">
      <c r="A4" s="217"/>
      <c r="B4" s="177" t="s">
        <v>195</v>
      </c>
    </row>
    <row r="5" spans="1:13" ht="13" x14ac:dyDescent="0.3">
      <c r="A5" s="217"/>
      <c r="B5" s="177"/>
    </row>
    <row r="6" spans="1:13" ht="13" hidden="1" x14ac:dyDescent="0.3">
      <c r="A6" s="217"/>
      <c r="B6" s="177" t="s">
        <v>194</v>
      </c>
    </row>
    <row r="7" spans="1:13" ht="13" hidden="1" x14ac:dyDescent="0.3">
      <c r="A7" s="217"/>
      <c r="B7" s="177" t="s">
        <v>193</v>
      </c>
    </row>
    <row r="8" spans="1:13" ht="13" hidden="1" x14ac:dyDescent="0.3">
      <c r="A8" s="217"/>
      <c r="B8" s="177"/>
    </row>
    <row r="9" spans="1:13" ht="13" x14ac:dyDescent="0.3">
      <c r="A9" s="217"/>
      <c r="B9" s="177" t="s">
        <v>192</v>
      </c>
    </row>
    <row r="10" spans="1:13" ht="13.5" thickBot="1" x14ac:dyDescent="0.35">
      <c r="A10" s="217"/>
      <c r="B10" s="177"/>
    </row>
    <row r="11" spans="1:13" ht="13" x14ac:dyDescent="0.3">
      <c r="A11" s="217"/>
      <c r="B11" s="216"/>
      <c r="C11" s="215"/>
      <c r="D11" s="214" t="s">
        <v>191</v>
      </c>
      <c r="E11" s="215"/>
      <c r="F11" s="215"/>
      <c r="G11" s="215"/>
      <c r="H11" s="215"/>
      <c r="I11" s="214" t="s">
        <v>190</v>
      </c>
    </row>
    <row r="12" spans="1:13" ht="13.5" thickBot="1" x14ac:dyDescent="0.35">
      <c r="A12" s="213" t="s">
        <v>189</v>
      </c>
      <c r="B12" s="212"/>
      <c r="C12" s="211"/>
      <c r="D12" s="210">
        <f>D22+D32+D42+D52+D62+D72+D82</f>
        <v>0</v>
      </c>
      <c r="E12" s="211"/>
      <c r="F12" s="211"/>
      <c r="G12" s="211"/>
      <c r="H12" s="211"/>
      <c r="I12" s="210">
        <f>I22+I32+I42+I52+I62+I72+I82</f>
        <v>0</v>
      </c>
    </row>
    <row r="15" spans="1:13" ht="26.5" thickBot="1" x14ac:dyDescent="0.35">
      <c r="A15" s="194" t="s">
        <v>188</v>
      </c>
      <c r="B15" s="190" t="s">
        <v>177</v>
      </c>
      <c r="C15" s="191" t="s">
        <v>175</v>
      </c>
      <c r="D15" s="193" t="s">
        <v>176</v>
      </c>
      <c r="E15" s="191" t="s">
        <v>175</v>
      </c>
      <c r="F15" s="192"/>
      <c r="G15" s="191" t="s">
        <v>175</v>
      </c>
      <c r="H15" s="177"/>
      <c r="I15" s="191" t="s">
        <v>175</v>
      </c>
      <c r="J15" s="191" t="s">
        <v>175</v>
      </c>
      <c r="K15" s="209" t="s">
        <v>187</v>
      </c>
      <c r="L15" s="208"/>
    </row>
    <row r="16" spans="1:13" ht="13.5" thickBot="1" x14ac:dyDescent="0.35">
      <c r="A16" s="177"/>
      <c r="B16" s="190" t="s">
        <v>174</v>
      </c>
      <c r="C16" s="187" t="s">
        <v>173</v>
      </c>
      <c r="D16" s="189" t="s">
        <v>172</v>
      </c>
      <c r="E16" s="188" t="s">
        <v>171</v>
      </c>
      <c r="F16" s="187" t="s">
        <v>170</v>
      </c>
      <c r="G16" s="187" t="s">
        <v>169</v>
      </c>
      <c r="H16" s="186" t="s">
        <v>163</v>
      </c>
      <c r="I16" s="186" t="s">
        <v>168</v>
      </c>
      <c r="J16" s="185" t="s">
        <v>167</v>
      </c>
      <c r="K16" s="206" t="s">
        <v>186</v>
      </c>
      <c r="L16" s="207" t="s">
        <v>185</v>
      </c>
      <c r="M16" s="206" t="s">
        <v>184</v>
      </c>
    </row>
    <row r="17" spans="1:13" ht="13.5" thickBot="1" x14ac:dyDescent="0.35">
      <c r="A17" s="184" t="s">
        <v>166</v>
      </c>
      <c r="B17" s="178">
        <f>Summary!H11</f>
        <v>44440</v>
      </c>
      <c r="C17" s="183">
        <f>ROUND(IF((B17=0),0,(B18-B17))/30,0)</f>
        <v>12</v>
      </c>
      <c r="D17" s="182">
        <f>Summary!I102</f>
        <v>0</v>
      </c>
      <c r="E17" s="181">
        <f>IF(ISERROR(D17/F22),0,(D17/F22))</f>
        <v>0</v>
      </c>
      <c r="F17" s="173">
        <f>IF(OR($B$18&lt;$K17,$B$17&gt;$L17),0,(MIN($B$18,$L17)-MAX($B$17,$K17)+1))</f>
        <v>0</v>
      </c>
      <c r="G17" s="173">
        <f>ROUND(IF(ISERROR(F17/365),0,(F17/365)*12),2)</f>
        <v>0</v>
      </c>
      <c r="H17" s="172">
        <f>IF(OR($B$18&lt;$K17,$B$17&gt;$L17),0,M17)</f>
        <v>0</v>
      </c>
      <c r="I17" s="171">
        <f>(F17*$E$17)*H17</f>
        <v>0</v>
      </c>
      <c r="J17" s="170">
        <f>IF(ISERROR(I17/H17),0,(I17/H17))</f>
        <v>0</v>
      </c>
      <c r="K17" s="203">
        <v>42552</v>
      </c>
      <c r="L17" s="202">
        <v>42916</v>
      </c>
      <c r="M17" s="201">
        <v>0.52</v>
      </c>
    </row>
    <row r="18" spans="1:13" ht="13.5" thickBot="1" x14ac:dyDescent="0.35">
      <c r="A18" s="179" t="s">
        <v>165</v>
      </c>
      <c r="B18" s="178">
        <f>Summary!I11</f>
        <v>44804</v>
      </c>
      <c r="C18" s="205"/>
      <c r="D18" s="175"/>
      <c r="E18" s="174"/>
      <c r="F18" s="173">
        <f>IF(OR($B$18&lt;$K18,$B$17&gt;$L18),0,(MIN($B$18,$L18)-MAX($B$17,$K18)+1))</f>
        <v>0</v>
      </c>
      <c r="G18" s="173">
        <f>ROUND(IF(ISERROR(F18/365),0,(F18/365)*12),2)</f>
        <v>0</v>
      </c>
      <c r="H18" s="172">
        <f>IF(OR($B$18&lt;$K18,$B$17&gt;$L18),0,M18)</f>
        <v>0</v>
      </c>
      <c r="I18" s="171">
        <f>(F18*$E$17)*H18</f>
        <v>0</v>
      </c>
      <c r="J18" s="170">
        <f>IF(ISERROR(I18/H18),0,(I18/H18))</f>
        <v>0</v>
      </c>
      <c r="K18" s="203">
        <v>42917</v>
      </c>
      <c r="L18" s="202">
        <v>43281</v>
      </c>
      <c r="M18" s="201">
        <v>0.52</v>
      </c>
    </row>
    <row r="19" spans="1:13" x14ac:dyDescent="0.25">
      <c r="C19" s="204"/>
      <c r="D19" s="175"/>
      <c r="E19" s="174"/>
      <c r="F19" s="173">
        <f>IF(OR($B$18&lt;$K19,$B$17&gt;$L19),0,(MIN($B$18,$L19)-MAX($B$17,$K19)+1))</f>
        <v>0</v>
      </c>
      <c r="G19" s="173">
        <f>ROUND(IF(ISERROR(F19/365),0,(F19/365)*12),2)</f>
        <v>0</v>
      </c>
      <c r="H19" s="172">
        <f>IF(OR($B$18&lt;$K19,$B$17&gt;$L19),0,M19)</f>
        <v>0</v>
      </c>
      <c r="I19" s="171">
        <f>(F19*$E$17)*H19</f>
        <v>0</v>
      </c>
      <c r="J19" s="170">
        <f>IF(ISERROR(I19/H19),0,(I19/H19))</f>
        <v>0</v>
      </c>
      <c r="K19" s="203">
        <v>43282</v>
      </c>
      <c r="L19" s="202">
        <v>43646</v>
      </c>
      <c r="M19" s="201">
        <v>0.53</v>
      </c>
    </row>
    <row r="20" spans="1:13" x14ac:dyDescent="0.25">
      <c r="A20" s="177"/>
      <c r="C20" s="176"/>
      <c r="D20" s="175"/>
      <c r="E20" s="174"/>
      <c r="F20" s="173">
        <f>IF(OR($B$18&lt;$K20,$B$17&gt;$L20),0,(MIN($B$18,$L20)-MAX($B$17,$K20)+1))</f>
        <v>0</v>
      </c>
      <c r="G20" s="173">
        <f>ROUND(IF(ISERROR(F20/365),0,(F20/365)*12),2)</f>
        <v>0</v>
      </c>
      <c r="H20" s="172">
        <f>IF(OR($B$18&lt;$K20,$B$17&gt;$L20),0,M20)</f>
        <v>0</v>
      </c>
      <c r="I20" s="171">
        <f>(F20*$E$17)*H20</f>
        <v>0</v>
      </c>
      <c r="J20" s="170">
        <f>IF(ISERROR(I20/H20),0,(I20/H20))</f>
        <v>0</v>
      </c>
      <c r="K20" s="203">
        <v>43647</v>
      </c>
      <c r="L20" s="202">
        <v>44012</v>
      </c>
      <c r="M20" s="201">
        <v>0.53</v>
      </c>
    </row>
    <row r="21" spans="1:13" x14ac:dyDescent="0.25">
      <c r="B21" s="169"/>
      <c r="C21" s="168"/>
      <c r="D21" s="167"/>
      <c r="E21" s="166"/>
      <c r="F21" s="165">
        <f>IF(OR($B$18&lt;$K21,$B$17&gt;$L21),0,(MIN($B$18,$L21)-MAX($B$17,$K21)+1))</f>
        <v>365</v>
      </c>
      <c r="G21" s="165">
        <f>ROUND(IF(ISERROR(F21/365),0,(F21/365)*12),2)</f>
        <v>12</v>
      </c>
      <c r="H21" s="164">
        <f>IF(OR($B$18&lt;$K21,$B$17&gt;$L21),0,M21)</f>
        <v>0.53</v>
      </c>
      <c r="I21" s="163">
        <f>(F21*$E$17)*H21</f>
        <v>0</v>
      </c>
      <c r="J21" s="162">
        <f>IF(ISERROR(I21/H21),0,(I21/H21))</f>
        <v>0</v>
      </c>
      <c r="K21" s="203">
        <v>44013</v>
      </c>
      <c r="L21" s="202">
        <v>47664</v>
      </c>
      <c r="M21" s="201">
        <v>0.53</v>
      </c>
    </row>
    <row r="22" spans="1:13" ht="13" x14ac:dyDescent="0.3">
      <c r="B22" s="161" t="s">
        <v>164</v>
      </c>
      <c r="C22" s="160"/>
      <c r="D22" s="159">
        <f>SUM(D17:D21)</f>
        <v>0</v>
      </c>
      <c r="E22" s="158"/>
      <c r="F22" s="157">
        <f>SUM(F17:F21)</f>
        <v>365</v>
      </c>
      <c r="G22" s="156">
        <f>SUM(G17:G21)</f>
        <v>12</v>
      </c>
      <c r="H22" s="155">
        <f>AVERAGEIF(H17:H21,"&lt;&gt;0")</f>
        <v>0.53</v>
      </c>
      <c r="I22" s="154">
        <f>SUM(I17:I21)</f>
        <v>0</v>
      </c>
      <c r="J22" s="153">
        <f>SUM(J17:J21)</f>
        <v>0</v>
      </c>
      <c r="K22" s="200"/>
      <c r="L22" s="200"/>
      <c r="M22" s="200"/>
    </row>
    <row r="23" spans="1:13" x14ac:dyDescent="0.25">
      <c r="F23" s="199"/>
      <c r="G23" s="192"/>
    </row>
    <row r="24" spans="1:13" ht="14.25" customHeight="1" x14ac:dyDescent="0.25">
      <c r="F24" s="192"/>
      <c r="G24" s="192"/>
    </row>
    <row r="25" spans="1:13" ht="18" customHeight="1" thickBot="1" x14ac:dyDescent="0.35">
      <c r="A25" s="194" t="s">
        <v>183</v>
      </c>
      <c r="B25" s="190" t="s">
        <v>177</v>
      </c>
      <c r="C25" s="191" t="s">
        <v>175</v>
      </c>
      <c r="D25" s="193" t="s">
        <v>176</v>
      </c>
      <c r="E25" s="191" t="s">
        <v>175</v>
      </c>
      <c r="F25" s="192"/>
      <c r="G25" s="191" t="s">
        <v>175</v>
      </c>
      <c r="H25" s="177"/>
      <c r="I25" s="191" t="s">
        <v>175</v>
      </c>
      <c r="J25" s="191" t="s">
        <v>175</v>
      </c>
    </row>
    <row r="26" spans="1:13" ht="13.5" thickBot="1" x14ac:dyDescent="0.35">
      <c r="A26" s="177"/>
      <c r="B26" s="190" t="s">
        <v>174</v>
      </c>
      <c r="C26" s="198" t="s">
        <v>173</v>
      </c>
      <c r="D26" s="189" t="s">
        <v>172</v>
      </c>
      <c r="E26" s="188" t="s">
        <v>171</v>
      </c>
      <c r="F26" s="187" t="s">
        <v>170</v>
      </c>
      <c r="G26" s="187" t="s">
        <v>169</v>
      </c>
      <c r="H26" s="186" t="s">
        <v>163</v>
      </c>
      <c r="I26" s="186" t="s">
        <v>168</v>
      </c>
      <c r="J26" s="185" t="s">
        <v>167</v>
      </c>
    </row>
    <row r="27" spans="1:13" ht="13.5" thickBot="1" x14ac:dyDescent="0.35">
      <c r="A27" s="184" t="s">
        <v>166</v>
      </c>
      <c r="B27" s="178">
        <f>Summary!J11</f>
        <v>44805</v>
      </c>
      <c r="C27" s="183">
        <f>ROUND(IF((B27=0),0,(B28-B27))/30,0)</f>
        <v>12</v>
      </c>
      <c r="D27" s="182">
        <f>Summary!K102</f>
        <v>0</v>
      </c>
      <c r="E27" s="181">
        <f>IF(ISERROR(D27/F32),0,(D27/F32))</f>
        <v>0</v>
      </c>
      <c r="F27" s="173">
        <f>IF(OR($B$28&lt;$K17,$B$27&gt;$L17),0,(MIN($B$28,$L17)-MAX($B$27,$K17)+1))</f>
        <v>0</v>
      </c>
      <c r="G27" s="173">
        <f>ROUND(IF(ISERROR(F27/365),0,(F27/365))*12,0)</f>
        <v>0</v>
      </c>
      <c r="H27" s="172">
        <f>IF(OR($B$28&lt;$K17,$B$27&gt;$L17),0,M17)</f>
        <v>0</v>
      </c>
      <c r="I27" s="171">
        <f>(F27*$E$27)*H27</f>
        <v>0</v>
      </c>
      <c r="J27" s="170">
        <f>IF(ISERROR(I27/H27),0,(I27/H27))</f>
        <v>0</v>
      </c>
    </row>
    <row r="28" spans="1:13" ht="13.5" thickBot="1" x14ac:dyDescent="0.35">
      <c r="A28" s="179" t="s">
        <v>165</v>
      </c>
      <c r="B28" s="178">
        <f>Summary!K11</f>
        <v>45169</v>
      </c>
      <c r="D28" s="175"/>
      <c r="E28" s="174"/>
      <c r="F28" s="173">
        <f>IF(OR($B$28&lt;$K18,$B$27&gt;$L18),0,(MIN($B$28,$L18)-MAX($B$27,$K18)+1))</f>
        <v>0</v>
      </c>
      <c r="G28" s="173">
        <f>ROUND(IF(ISERROR(F28/365),0,(F28/365))*12,0)</f>
        <v>0</v>
      </c>
      <c r="H28" s="172">
        <f>IF(OR($B$28&lt;$K18,$B$27&gt;$L18),0,M18)</f>
        <v>0</v>
      </c>
      <c r="I28" s="171">
        <f>(F28*$E$27)*H28</f>
        <v>0</v>
      </c>
      <c r="J28" s="170">
        <f>IF(ISERROR(I28/H28),0,(I28/H28))</f>
        <v>0</v>
      </c>
    </row>
    <row r="29" spans="1:13" x14ac:dyDescent="0.25">
      <c r="C29" s="176"/>
      <c r="D29" s="175"/>
      <c r="E29" s="174"/>
      <c r="F29" s="173">
        <f>IF(OR($B$28&lt;$K19,$B$27&gt;$L19),0,(MIN($B$28,$L19)-MAX($B$27,$K19)+1))</f>
        <v>0</v>
      </c>
      <c r="G29" s="173">
        <f>ROUND(IF(ISERROR(F29/365),0,(F29/365))*12,0)</f>
        <v>0</v>
      </c>
      <c r="H29" s="172">
        <f>IF(OR($B$28&lt;$K19,$B$27&gt;$L19),0,M19)</f>
        <v>0</v>
      </c>
      <c r="I29" s="171">
        <f>(F29*$E$27)*H29</f>
        <v>0</v>
      </c>
      <c r="J29" s="170">
        <f>IF(ISERROR(I29/H29),0,(I29/H29))</f>
        <v>0</v>
      </c>
    </row>
    <row r="30" spans="1:13" x14ac:dyDescent="0.25">
      <c r="A30" s="177"/>
      <c r="C30" s="176"/>
      <c r="D30" s="175"/>
      <c r="E30" s="174"/>
      <c r="F30" s="173">
        <f>IF(OR($B$28&lt;$K20,$B$27&gt;$L20),0,(MIN($B$28,$L20)-MAX($B$27,$K20)+1))</f>
        <v>0</v>
      </c>
      <c r="G30" s="173">
        <f>ROUND(IF(ISERROR(F30/365),0,(F30/365))*12,0)</f>
        <v>0</v>
      </c>
      <c r="H30" s="172">
        <f>IF(OR($B$28&lt;$K20,$B$27&gt;$L20),0,M20)</f>
        <v>0</v>
      </c>
      <c r="I30" s="171">
        <f>(F30*$E$27)*H30</f>
        <v>0</v>
      </c>
      <c r="J30" s="170">
        <f>IF(ISERROR(I30/H30),0,(I30/H30))</f>
        <v>0</v>
      </c>
    </row>
    <row r="31" spans="1:13" x14ac:dyDescent="0.25">
      <c r="B31" s="169"/>
      <c r="C31" s="168"/>
      <c r="D31" s="167"/>
      <c r="E31" s="166"/>
      <c r="F31" s="165">
        <f>IF(OR($B$28&lt;$K21,$B$27&gt;$L21),0,(MIN($B$28,$L21)-MAX($B$27,$K21)+1))</f>
        <v>365</v>
      </c>
      <c r="G31" s="165">
        <f>ROUND(IF(ISERROR(F31/365),0,(F31/365))*12,0)</f>
        <v>12</v>
      </c>
      <c r="H31" s="164">
        <f>IF(OR($B$28&lt;$K21,$B$27&gt;$L21),0,M21)</f>
        <v>0.53</v>
      </c>
      <c r="I31" s="163">
        <f>(F31*$E$27)*H31</f>
        <v>0</v>
      </c>
      <c r="J31" s="162">
        <f>IF(ISERROR(I31/H31),0,(I31/H31))</f>
        <v>0</v>
      </c>
    </row>
    <row r="32" spans="1:13" ht="13" x14ac:dyDescent="0.3">
      <c r="B32" s="161" t="s">
        <v>164</v>
      </c>
      <c r="C32" s="160"/>
      <c r="D32" s="159">
        <f>SUM(D27:D31)</f>
        <v>0</v>
      </c>
      <c r="E32" s="158"/>
      <c r="F32" s="157">
        <f>SUM(F27:F31)</f>
        <v>365</v>
      </c>
      <c r="G32" s="156">
        <f>SUM(G27:G31)</f>
        <v>12</v>
      </c>
      <c r="H32" s="155">
        <f>AVERAGEIF(H27:H31,"&lt;&gt;0")</f>
        <v>0.53</v>
      </c>
      <c r="I32" s="154">
        <f>SUM(I27:I31)</f>
        <v>0</v>
      </c>
      <c r="J32" s="153">
        <f>SUM(J27:J31)</f>
        <v>0</v>
      </c>
      <c r="K32" s="195"/>
    </row>
    <row r="33" spans="1:12" x14ac:dyDescent="0.25">
      <c r="F33" s="192"/>
      <c r="K33" s="195"/>
    </row>
    <row r="34" spans="1:12" x14ac:dyDescent="0.25">
      <c r="C34" s="197"/>
      <c r="F34" s="192"/>
      <c r="K34" s="195"/>
    </row>
    <row r="35" spans="1:12" ht="13.5" thickBot="1" x14ac:dyDescent="0.35">
      <c r="A35" s="194" t="s">
        <v>182</v>
      </c>
      <c r="B35" s="190" t="s">
        <v>177</v>
      </c>
      <c r="C35" s="191" t="s">
        <v>175</v>
      </c>
      <c r="D35" s="193" t="s">
        <v>176</v>
      </c>
      <c r="E35" s="191" t="s">
        <v>175</v>
      </c>
      <c r="F35" s="192"/>
      <c r="G35" s="191" t="s">
        <v>175</v>
      </c>
      <c r="H35" s="177"/>
      <c r="I35" s="191" t="s">
        <v>175</v>
      </c>
      <c r="J35" s="191" t="s">
        <v>175</v>
      </c>
    </row>
    <row r="36" spans="1:12" ht="13.5" thickBot="1" x14ac:dyDescent="0.35">
      <c r="A36" s="177"/>
      <c r="B36" s="190" t="s">
        <v>174</v>
      </c>
      <c r="C36" s="187" t="s">
        <v>173</v>
      </c>
      <c r="D36" s="189" t="s">
        <v>172</v>
      </c>
      <c r="E36" s="188" t="s">
        <v>171</v>
      </c>
      <c r="F36" s="187" t="s">
        <v>170</v>
      </c>
      <c r="G36" s="187" t="s">
        <v>169</v>
      </c>
      <c r="H36" s="186" t="s">
        <v>163</v>
      </c>
      <c r="I36" s="186" t="s">
        <v>168</v>
      </c>
      <c r="J36" s="185" t="s">
        <v>167</v>
      </c>
    </row>
    <row r="37" spans="1:12" ht="13.5" thickBot="1" x14ac:dyDescent="0.35">
      <c r="A37" s="184" t="s">
        <v>166</v>
      </c>
      <c r="B37" s="178">
        <f>Summary!L11</f>
        <v>45170</v>
      </c>
      <c r="C37" s="183">
        <f>ROUND(IF((B37=0),0,(B38-B37))/30,0)</f>
        <v>12</v>
      </c>
      <c r="D37" s="182">
        <f>Summary!M102</f>
        <v>0</v>
      </c>
      <c r="E37" s="181">
        <f>IF(ISERROR(D37/F42),0,(D37/F42))</f>
        <v>0</v>
      </c>
      <c r="F37" s="180">
        <f>IF(OR($B$38&lt;$K17,$B$37&gt;$L17),0,(MIN($B$38,$L17)-MAX($B$37,$K17)+1))</f>
        <v>0</v>
      </c>
      <c r="G37" s="173">
        <f>ROUND(IF(ISERROR(F37/365),0,(F37/365))*12,0)</f>
        <v>0</v>
      </c>
      <c r="H37" s="172">
        <f>IF(OR($B$38&lt;$K17,$B$37&gt;$L17),0,M17)</f>
        <v>0</v>
      </c>
      <c r="I37" s="171">
        <f>(F37*$E$37)*H37</f>
        <v>0</v>
      </c>
      <c r="J37" s="170">
        <f>IF(ISERROR(I37/H37),0,(I37/H37))</f>
        <v>0</v>
      </c>
    </row>
    <row r="38" spans="1:12" ht="13.5" thickBot="1" x14ac:dyDescent="0.35">
      <c r="A38" s="179" t="s">
        <v>165</v>
      </c>
      <c r="B38" s="178">
        <f>Summary!M11</f>
        <v>45535</v>
      </c>
      <c r="D38" s="175"/>
      <c r="E38" s="174"/>
      <c r="F38" s="173">
        <f>IF(OR($B$38&lt;$K18,$B$37&gt;$L18),0,(MIN($B$38,$L18)-MAX($B$37,$K18)+1))</f>
        <v>0</v>
      </c>
      <c r="G38" s="173">
        <f>ROUND(IF(ISERROR(F38/365),0,(F38/365))*12,0)</f>
        <v>0</v>
      </c>
      <c r="H38" s="172">
        <f>IF(OR($B$38&lt;$K18,$B$37&gt;$L18),0,M18)</f>
        <v>0</v>
      </c>
      <c r="I38" s="171">
        <f>(F38*$E$37)*H38</f>
        <v>0</v>
      </c>
      <c r="J38" s="170">
        <f>IF(ISERROR(I38/H38),0,(I38/H38))</f>
        <v>0</v>
      </c>
      <c r="K38" s="195"/>
      <c r="L38" s="195"/>
    </row>
    <row r="39" spans="1:12" x14ac:dyDescent="0.25">
      <c r="C39" s="176"/>
      <c r="D39" s="175"/>
      <c r="E39" s="174"/>
      <c r="F39" s="173">
        <f>IF(OR($B$38&lt;$K19,$B$37&gt;$L19),0,(MIN($B$38,$L19)-MAX($B$37,$K19)+1))</f>
        <v>0</v>
      </c>
      <c r="G39" s="173">
        <f>ROUND(IF(ISERROR(F39/365),0,(F39/365))*12,0)</f>
        <v>0</v>
      </c>
      <c r="H39" s="172">
        <f>IF(OR($B$38&lt;$K19,$B$37&gt;$L19),0,M19)</f>
        <v>0</v>
      </c>
      <c r="I39" s="171">
        <f>(F39*$E$37)*H39</f>
        <v>0</v>
      </c>
      <c r="J39" s="170">
        <f>IF(ISERROR(I39/H39),0,(I39/H39))</f>
        <v>0</v>
      </c>
      <c r="K39" s="195"/>
      <c r="L39" s="195"/>
    </row>
    <row r="40" spans="1:12" x14ac:dyDescent="0.25">
      <c r="A40" s="177"/>
      <c r="C40" s="176"/>
      <c r="D40" s="175"/>
      <c r="E40" s="174"/>
      <c r="F40" s="173">
        <f>IF(OR($B$38&lt;$K20,$B$37&gt;$L20),0,(MIN($B$38,$L20)-MAX($B$37,$K20)+1))</f>
        <v>0</v>
      </c>
      <c r="G40" s="173">
        <f>ROUND(IF(ISERROR(F40/365),0,(F40/365))*12,0)</f>
        <v>0</v>
      </c>
      <c r="H40" s="172">
        <f>IF(OR($B$38&lt;$K20,$B$37&gt;$L20),0,M20)</f>
        <v>0</v>
      </c>
      <c r="I40" s="171">
        <f>(F40*$E$37)*H40</f>
        <v>0</v>
      </c>
      <c r="J40" s="170">
        <f>IF(ISERROR(I40/H40),0,(I40/H40))</f>
        <v>0</v>
      </c>
      <c r="K40" s="195"/>
      <c r="L40" s="195"/>
    </row>
    <row r="41" spans="1:12" x14ac:dyDescent="0.25">
      <c r="B41" s="169"/>
      <c r="C41" s="168"/>
      <c r="D41" s="167"/>
      <c r="E41" s="166"/>
      <c r="F41" s="165">
        <f>IF(OR($B$38&lt;$K21,$B$37&gt;$L21),0,(MIN($B$38,$L21)-MAX($B$37,$K21)+1))</f>
        <v>366</v>
      </c>
      <c r="G41" s="165">
        <f>ROUND(IF(ISERROR(F41/365),0,(F41/365))*12,0)</f>
        <v>12</v>
      </c>
      <c r="H41" s="164">
        <f>IF(OR($B$38&lt;$K21,$B$37&gt;$L21),0,M21)</f>
        <v>0.53</v>
      </c>
      <c r="I41" s="163">
        <f>(F41*$E$37)*H41</f>
        <v>0</v>
      </c>
      <c r="J41" s="162">
        <f>IF(ISERROR(I41/H41),0,(I41/H41))</f>
        <v>0</v>
      </c>
    </row>
    <row r="42" spans="1:12" ht="13" x14ac:dyDescent="0.3">
      <c r="B42" s="161" t="s">
        <v>164</v>
      </c>
      <c r="C42" s="160"/>
      <c r="D42" s="159">
        <f>SUM(D37:D41)</f>
        <v>0</v>
      </c>
      <c r="E42" s="158"/>
      <c r="F42" s="157">
        <f>SUM(F37:F41)</f>
        <v>366</v>
      </c>
      <c r="G42" s="156">
        <f>SUM(G37:G41)</f>
        <v>12</v>
      </c>
      <c r="H42" s="155">
        <f>AVERAGEIF(H37:H41,"&lt;&gt;0")</f>
        <v>0.53</v>
      </c>
      <c r="I42" s="154">
        <f>SUM(I37:I41)</f>
        <v>0</v>
      </c>
      <c r="J42" s="153">
        <f>SUM(J37:J41)</f>
        <v>0</v>
      </c>
      <c r="K42" s="195"/>
    </row>
    <row r="43" spans="1:12" x14ac:dyDescent="0.25">
      <c r="F43" s="192"/>
      <c r="K43" s="195"/>
    </row>
    <row r="44" spans="1:12" x14ac:dyDescent="0.25">
      <c r="F44" s="192"/>
    </row>
    <row r="45" spans="1:12" ht="13.5" thickBot="1" x14ac:dyDescent="0.35">
      <c r="A45" s="194" t="s">
        <v>181</v>
      </c>
      <c r="B45" s="190" t="s">
        <v>177</v>
      </c>
      <c r="C45" s="191" t="s">
        <v>175</v>
      </c>
      <c r="D45" s="193" t="s">
        <v>176</v>
      </c>
      <c r="E45" s="191" t="s">
        <v>175</v>
      </c>
      <c r="F45" s="192"/>
      <c r="G45" s="191" t="s">
        <v>175</v>
      </c>
      <c r="H45" s="177"/>
      <c r="I45" s="191" t="s">
        <v>175</v>
      </c>
      <c r="J45" s="191" t="s">
        <v>175</v>
      </c>
      <c r="K45" s="195"/>
    </row>
    <row r="46" spans="1:12" ht="13.5" thickBot="1" x14ac:dyDescent="0.35">
      <c r="A46" s="177"/>
      <c r="B46" s="190" t="s">
        <v>174</v>
      </c>
      <c r="C46" s="187" t="s">
        <v>173</v>
      </c>
      <c r="D46" s="189" t="s">
        <v>172</v>
      </c>
      <c r="E46" s="188" t="s">
        <v>171</v>
      </c>
      <c r="F46" s="187" t="s">
        <v>170</v>
      </c>
      <c r="G46" s="187" t="s">
        <v>169</v>
      </c>
      <c r="H46" s="186" t="s">
        <v>163</v>
      </c>
      <c r="I46" s="186" t="s">
        <v>168</v>
      </c>
      <c r="J46" s="185" t="s">
        <v>167</v>
      </c>
    </row>
    <row r="47" spans="1:12" ht="13.5" thickBot="1" x14ac:dyDescent="0.35">
      <c r="A47" s="184" t="s">
        <v>166</v>
      </c>
      <c r="B47" s="178">
        <f>Summary!N11</f>
        <v>45536</v>
      </c>
      <c r="C47" s="183">
        <f>ROUND(IF((B47=0),0,(B48-B47))/30,0)</f>
        <v>12</v>
      </c>
      <c r="D47" s="182">
        <f>Summary!O102</f>
        <v>0</v>
      </c>
      <c r="E47" s="181">
        <f>IF(ISERROR(D47/F52),0,(D47/F52))</f>
        <v>0</v>
      </c>
      <c r="F47" s="180">
        <f>IF(OR($B$48&lt;$K17,$B$47&gt;$L17),0,(MIN($B$48,$L17)-MAX($B$47,$K17)+1))</f>
        <v>0</v>
      </c>
      <c r="G47" s="173">
        <f>ROUND(IF(ISERROR(F47/365),0,(F47/365))*12,0)</f>
        <v>0</v>
      </c>
      <c r="H47" s="172">
        <f>IF(OR($B$48&lt;$K17,$B$47&gt;$L17),0,M17)</f>
        <v>0</v>
      </c>
      <c r="I47" s="171">
        <f>(F47*$E$47)*H47</f>
        <v>0</v>
      </c>
      <c r="J47" s="170">
        <f>IF(ISERROR(I47/H47),0,(I47/H47))</f>
        <v>0</v>
      </c>
    </row>
    <row r="48" spans="1:12" ht="13.5" thickBot="1" x14ac:dyDescent="0.35">
      <c r="A48" s="179" t="s">
        <v>165</v>
      </c>
      <c r="B48" s="178">
        <f>Summary!O11</f>
        <v>45900</v>
      </c>
      <c r="D48" s="175"/>
      <c r="E48" s="174"/>
      <c r="F48" s="173">
        <f>IF(OR($B$48&lt;$K18,$B$47&gt;$L18),0,(MIN($B$48,$L18)-MAX($B$47,$K18)+1))</f>
        <v>0</v>
      </c>
      <c r="G48" s="173">
        <f>ROUND(IF(ISERROR(F48/365),0,(F48/365))*12,0)</f>
        <v>0</v>
      </c>
      <c r="H48" s="172">
        <f>IF(OR($B$48&lt;$K18,$B$47&gt;$L18),0,M18)</f>
        <v>0</v>
      </c>
      <c r="I48" s="171">
        <f>(F48*$E$47)*H48</f>
        <v>0</v>
      </c>
      <c r="J48" s="170">
        <f>IF(ISERROR(I48/H48),0,(I48/H48))</f>
        <v>0</v>
      </c>
      <c r="K48" s="196"/>
    </row>
    <row r="49" spans="1:11" x14ac:dyDescent="0.25">
      <c r="C49" s="176"/>
      <c r="D49" s="175"/>
      <c r="E49" s="174"/>
      <c r="F49" s="173">
        <f>IF(OR($B$48&lt;$K19,$B$47&gt;$L19),0,(MIN($B$48,$L19)-MAX($B$47,$K19)+1))</f>
        <v>0</v>
      </c>
      <c r="G49" s="173">
        <f>ROUND(IF(ISERROR(F49/365),0,(F49/365))*12,0)</f>
        <v>0</v>
      </c>
      <c r="H49" s="172">
        <f>IF(OR($B$48&lt;$K19,$B$47&gt;$L19),0,M19)</f>
        <v>0</v>
      </c>
      <c r="I49" s="171">
        <f>(F49*$E$47)*H49</f>
        <v>0</v>
      </c>
      <c r="J49" s="170">
        <f>IF(ISERROR(I49/H49),0,(I49/H49))</f>
        <v>0</v>
      </c>
    </row>
    <row r="50" spans="1:11" x14ac:dyDescent="0.25">
      <c r="A50" s="177"/>
      <c r="C50" s="176"/>
      <c r="D50" s="175"/>
      <c r="E50" s="174"/>
      <c r="F50" s="173">
        <f>IF(OR($B$48&lt;$K20,$B$47&gt;$L20),0,(MIN($B$48,$L20)-MAX($B$47,$K20)+1))</f>
        <v>0</v>
      </c>
      <c r="G50" s="173">
        <f>ROUND(IF(ISERROR(F50/365),0,(F50/365))*12,0)</f>
        <v>0</v>
      </c>
      <c r="H50" s="172">
        <f>IF(OR($B$48&lt;$K20,$B$47&gt;$L20),0,M20)</f>
        <v>0</v>
      </c>
      <c r="I50" s="171">
        <f>(F50*$E$47)*H50</f>
        <v>0</v>
      </c>
      <c r="J50" s="170">
        <f>IF(ISERROR(I50/H50),0,(I50/H50))</f>
        <v>0</v>
      </c>
      <c r="K50" s="196"/>
    </row>
    <row r="51" spans="1:11" x14ac:dyDescent="0.25">
      <c r="B51" s="169"/>
      <c r="C51" s="168"/>
      <c r="D51" s="167"/>
      <c r="E51" s="166"/>
      <c r="F51" s="165">
        <f>IF(OR($B$48&lt;$K21,$B$47&gt;$L21),0,(MIN($B$48,$L21)-MAX($B$47,$K21)+1))</f>
        <v>365</v>
      </c>
      <c r="G51" s="165">
        <f>ROUND(IF(ISERROR(F51/365),0,(F51/365))*12,0)</f>
        <v>12</v>
      </c>
      <c r="H51" s="164">
        <f>IF(OR($B$48&lt;$K21,$B$47&gt;$L21),0,M21)</f>
        <v>0.53</v>
      </c>
      <c r="I51" s="163">
        <f>(F51*$E$47)*H51</f>
        <v>0</v>
      </c>
      <c r="J51" s="162">
        <f>IF(ISERROR(I51/H51),0,(I51/H51))</f>
        <v>0</v>
      </c>
    </row>
    <row r="52" spans="1:11" ht="13" x14ac:dyDescent="0.3">
      <c r="B52" s="161" t="s">
        <v>164</v>
      </c>
      <c r="C52" s="160"/>
      <c r="D52" s="159">
        <f>SUM(D47:D51)</f>
        <v>0</v>
      </c>
      <c r="E52" s="158"/>
      <c r="F52" s="157">
        <f>SUM(F47:F51)</f>
        <v>365</v>
      </c>
      <c r="G52" s="156">
        <f>SUM(G47:G51)</f>
        <v>12</v>
      </c>
      <c r="H52" s="155">
        <f>AVERAGEIF(H47:H51,"&lt;&gt;0")</f>
        <v>0.53</v>
      </c>
      <c r="I52" s="154">
        <f>SUM(I47:I51)</f>
        <v>0</v>
      </c>
      <c r="J52" s="153">
        <f>SUM(J47:J51)</f>
        <v>0</v>
      </c>
    </row>
    <row r="53" spans="1:11" x14ac:dyDescent="0.25">
      <c r="F53" s="192"/>
    </row>
    <row r="54" spans="1:11" x14ac:dyDescent="0.25">
      <c r="F54" s="192"/>
    </row>
    <row r="55" spans="1:11" ht="13.5" thickBot="1" x14ac:dyDescent="0.35">
      <c r="A55" s="194" t="s">
        <v>180</v>
      </c>
      <c r="B55" s="190" t="s">
        <v>177</v>
      </c>
      <c r="C55" s="191" t="s">
        <v>175</v>
      </c>
      <c r="D55" s="193" t="s">
        <v>176</v>
      </c>
      <c r="E55" s="191" t="s">
        <v>175</v>
      </c>
      <c r="F55" s="192"/>
      <c r="G55" s="191" t="s">
        <v>175</v>
      </c>
      <c r="H55" s="177"/>
      <c r="I55" s="191" t="s">
        <v>175</v>
      </c>
      <c r="J55" s="191" t="s">
        <v>175</v>
      </c>
    </row>
    <row r="56" spans="1:11" ht="13.5" thickBot="1" x14ac:dyDescent="0.35">
      <c r="A56" s="177"/>
      <c r="B56" s="190" t="s">
        <v>174</v>
      </c>
      <c r="C56" s="187" t="s">
        <v>173</v>
      </c>
      <c r="D56" s="189" t="s">
        <v>172</v>
      </c>
      <c r="E56" s="188" t="s">
        <v>171</v>
      </c>
      <c r="F56" s="187" t="s">
        <v>170</v>
      </c>
      <c r="G56" s="187" t="s">
        <v>169</v>
      </c>
      <c r="H56" s="186" t="s">
        <v>163</v>
      </c>
      <c r="I56" s="186" t="s">
        <v>168</v>
      </c>
      <c r="J56" s="185" t="s">
        <v>167</v>
      </c>
      <c r="K56" s="195"/>
    </row>
    <row r="57" spans="1:11" ht="13.5" thickBot="1" x14ac:dyDescent="0.35">
      <c r="A57" s="184" t="s">
        <v>166</v>
      </c>
      <c r="B57" s="178">
        <f>Summary!P11</f>
        <v>45901</v>
      </c>
      <c r="C57" s="183">
        <f>ROUND(IF((B57=0),0,(B58-B57))/30,0)</f>
        <v>12</v>
      </c>
      <c r="D57" s="182">
        <f>Summary!Q102</f>
        <v>0</v>
      </c>
      <c r="E57" s="181">
        <f>IF(ISERROR(D57/F62),0,(D57/F62))</f>
        <v>0</v>
      </c>
      <c r="F57" s="180">
        <f>IF(OR($B$58&lt;$K17,$B$57&gt;$L17),0,(MIN($B$58,$L17)-MAX($B$57,$K17)+1))</f>
        <v>0</v>
      </c>
      <c r="G57" s="173">
        <f>ROUND(IF(ISERROR(F57/365),0,(F57/365))*12,0)</f>
        <v>0</v>
      </c>
      <c r="H57" s="172">
        <f>IF(OR($B$58&lt;$K17,$B$57&gt;$L17),0,M17)</f>
        <v>0</v>
      </c>
      <c r="I57" s="171">
        <f>(F57*$E$57)*H57</f>
        <v>0</v>
      </c>
      <c r="J57" s="170">
        <f>IF(ISERROR(I57/H57),0,(I57/H57))</f>
        <v>0</v>
      </c>
    </row>
    <row r="58" spans="1:11" ht="13.5" thickBot="1" x14ac:dyDescent="0.35">
      <c r="A58" s="179" t="s">
        <v>165</v>
      </c>
      <c r="B58" s="178">
        <f>Summary!Q11</f>
        <v>46265</v>
      </c>
      <c r="D58" s="175"/>
      <c r="E58" s="174"/>
      <c r="F58" s="173">
        <f>IF(OR($B$58&lt;$K18,$B$57&gt;$L18),0,(MIN($B$58,$L18)-MAX($B$57,$K18)+1))</f>
        <v>0</v>
      </c>
      <c r="G58" s="173">
        <f>ROUND(IF(ISERROR(F58/365),0,(F58/365))*12,0)</f>
        <v>0</v>
      </c>
      <c r="H58" s="172">
        <f>IF(OR($B$58&lt;$K18,$B$57&gt;$L18),0,M18)</f>
        <v>0</v>
      </c>
      <c r="I58" s="171">
        <f>(F58*$E$57)*H58</f>
        <v>0</v>
      </c>
      <c r="J58" s="170">
        <f>IF(ISERROR(I58/H58),0,(I58/H58))</f>
        <v>0</v>
      </c>
    </row>
    <row r="59" spans="1:11" x14ac:dyDescent="0.25">
      <c r="C59" s="176"/>
      <c r="D59" s="175"/>
      <c r="E59" s="174"/>
      <c r="F59" s="173">
        <f>IF(OR($B$58&lt;$K19,$B$57&gt;$L19),0,(MIN($B$58,$L19)-MAX($B$57,$K19)+1))</f>
        <v>0</v>
      </c>
      <c r="G59" s="173">
        <f>ROUND(IF(ISERROR(F59/365),0,(F59/365))*12,0)</f>
        <v>0</v>
      </c>
      <c r="H59" s="172">
        <f>IF(OR($B$58&lt;$K19,$B$57&gt;$L19),0,M19)</f>
        <v>0</v>
      </c>
      <c r="I59" s="171">
        <f>(F59*$E$57)*H59</f>
        <v>0</v>
      </c>
      <c r="J59" s="170">
        <f>IF(ISERROR(I59/H59),0,(I59/H59))</f>
        <v>0</v>
      </c>
    </row>
    <row r="60" spans="1:11" x14ac:dyDescent="0.25">
      <c r="A60" s="177"/>
      <c r="C60" s="176"/>
      <c r="D60" s="175"/>
      <c r="E60" s="174"/>
      <c r="F60" s="173">
        <f>IF(OR($B$58&lt;$K20,$B$57&gt;$L20),0,(MIN($B$58,$L20)-MAX($B$57,$K20)+1))</f>
        <v>0</v>
      </c>
      <c r="G60" s="173">
        <f>ROUND(IF(ISERROR(F60/365),0,(F60/365))*12,0)</f>
        <v>0</v>
      </c>
      <c r="H60" s="172">
        <f>IF(OR($B$58&lt;$K20,$B$57&gt;$L20),0,M20)</f>
        <v>0</v>
      </c>
      <c r="I60" s="171">
        <f>(F60*$E$57)*H60</f>
        <v>0</v>
      </c>
      <c r="J60" s="170">
        <f>IF(ISERROR(I60/H60),0,(I60/H60))</f>
        <v>0</v>
      </c>
    </row>
    <row r="61" spans="1:11" x14ac:dyDescent="0.25">
      <c r="B61" s="169"/>
      <c r="C61" s="168"/>
      <c r="D61" s="167"/>
      <c r="E61" s="166"/>
      <c r="F61" s="165">
        <f>IF(OR($B$58&lt;$K21,$B$57&gt;$L21),0,(MIN($B$58,$L21)-MAX($B$57,$K21)+1))</f>
        <v>365</v>
      </c>
      <c r="G61" s="165">
        <f>ROUND(IF(ISERROR(F61/365),0,(F61/365))*12,0)</f>
        <v>12</v>
      </c>
      <c r="H61" s="164">
        <f>IF(OR($B$58&lt;$K21,$B$57&gt;$L21),0,M21)</f>
        <v>0.53</v>
      </c>
      <c r="I61" s="163">
        <f>(F61*$E$57)*H61</f>
        <v>0</v>
      </c>
      <c r="J61" s="162">
        <f>IF(ISERROR(I61/H61),0,(I61/H61))</f>
        <v>0</v>
      </c>
    </row>
    <row r="62" spans="1:11" ht="13" x14ac:dyDescent="0.3">
      <c r="B62" s="161" t="s">
        <v>164</v>
      </c>
      <c r="C62" s="160"/>
      <c r="D62" s="159">
        <f>SUM(D57:D61)</f>
        <v>0</v>
      </c>
      <c r="E62" s="158"/>
      <c r="F62" s="157">
        <f>SUM(F57:F61)</f>
        <v>365</v>
      </c>
      <c r="G62" s="156">
        <f>SUM(G57:G61)</f>
        <v>12</v>
      </c>
      <c r="H62" s="155">
        <f>AVERAGEIF(H57:H61,"&lt;&gt;0")</f>
        <v>0.53</v>
      </c>
      <c r="I62" s="154">
        <f>SUM(I57:I61)</f>
        <v>0</v>
      </c>
      <c r="J62" s="153">
        <f>SUM(J57:J61)</f>
        <v>0</v>
      </c>
    </row>
    <row r="63" spans="1:11" x14ac:dyDescent="0.25">
      <c r="F63" s="192"/>
    </row>
    <row r="64" spans="1:11" x14ac:dyDescent="0.25">
      <c r="F64" s="192"/>
    </row>
    <row r="65" spans="1:10" ht="13.5" thickBot="1" x14ac:dyDescent="0.35">
      <c r="A65" s="194" t="s">
        <v>179</v>
      </c>
      <c r="B65" s="190" t="s">
        <v>177</v>
      </c>
      <c r="C65" s="191" t="s">
        <v>175</v>
      </c>
      <c r="D65" s="193" t="s">
        <v>176</v>
      </c>
      <c r="E65" s="191" t="s">
        <v>175</v>
      </c>
      <c r="F65" s="192"/>
      <c r="G65" s="191" t="s">
        <v>175</v>
      </c>
      <c r="H65" s="177"/>
      <c r="I65" s="191" t="s">
        <v>175</v>
      </c>
      <c r="J65" s="191" t="s">
        <v>175</v>
      </c>
    </row>
    <row r="66" spans="1:10" ht="13.5" thickBot="1" x14ac:dyDescent="0.35">
      <c r="A66" s="177"/>
      <c r="B66" s="190" t="s">
        <v>174</v>
      </c>
      <c r="C66" s="187" t="s">
        <v>173</v>
      </c>
      <c r="D66" s="189" t="s">
        <v>172</v>
      </c>
      <c r="E66" s="188" t="s">
        <v>171</v>
      </c>
      <c r="F66" s="187" t="s">
        <v>170</v>
      </c>
      <c r="G66" s="187" t="s">
        <v>169</v>
      </c>
      <c r="H66" s="186" t="s">
        <v>163</v>
      </c>
      <c r="I66" s="186" t="s">
        <v>168</v>
      </c>
      <c r="J66" s="185" t="s">
        <v>167</v>
      </c>
    </row>
    <row r="67" spans="1:10" ht="13.5" thickBot="1" x14ac:dyDescent="0.35">
      <c r="A67" s="184" t="s">
        <v>166</v>
      </c>
      <c r="B67" s="178"/>
      <c r="C67" s="183">
        <f>ROUND(IF((B67=0),0,(B68-B67))/30,0)</f>
        <v>0</v>
      </c>
      <c r="D67" s="182">
        <v>0</v>
      </c>
      <c r="E67" s="181">
        <f>IF(ISERROR(D67/F72),0,(D67/F72))</f>
        <v>0</v>
      </c>
      <c r="F67" s="180">
        <f>IF(OR($B$68&lt;$K17,$B$67&gt;$L17),0,(MIN($B$68,$L17)-MAX($B$67,$K17)+1))</f>
        <v>0</v>
      </c>
      <c r="G67" s="173">
        <f>ROUND(IF(ISERROR(F67/365),0,(F67/365))*12,0)</f>
        <v>0</v>
      </c>
      <c r="H67" s="172">
        <f>IF(OR($B$68&lt;$K17,$B$67&gt;$L17),0,M17)</f>
        <v>0</v>
      </c>
      <c r="I67" s="171">
        <f>(F67*$E$67)*H67</f>
        <v>0</v>
      </c>
      <c r="J67" s="170">
        <f>IF(ISERROR(I67/H67),0,(I67/H67))</f>
        <v>0</v>
      </c>
    </row>
    <row r="68" spans="1:10" ht="13.5" thickBot="1" x14ac:dyDescent="0.35">
      <c r="A68" s="179" t="s">
        <v>165</v>
      </c>
      <c r="B68" s="178"/>
      <c r="D68" s="175"/>
      <c r="E68" s="174"/>
      <c r="F68" s="173">
        <f>IF(OR($B$68&lt;$K18,$B$67&gt;$L18),0,(MIN($B$68,$L18)-MAX($B$67,$K18)+1))</f>
        <v>0</v>
      </c>
      <c r="G68" s="173">
        <f>ROUND(IF(ISERROR(F68/365),0,(F68/365))*12,0)</f>
        <v>0</v>
      </c>
      <c r="H68" s="172">
        <f>IF(OR($B$68&lt;$K18,$B$67&gt;$L18),0,M18)</f>
        <v>0</v>
      </c>
      <c r="I68" s="171">
        <f>(F68*$E$67)*H68</f>
        <v>0</v>
      </c>
      <c r="J68" s="170">
        <f>IF(ISERROR(I68/H68),0,(I68/H68))</f>
        <v>0</v>
      </c>
    </row>
    <row r="69" spans="1:10" x14ac:dyDescent="0.25">
      <c r="C69" s="176"/>
      <c r="D69" s="175"/>
      <c r="E69" s="174"/>
      <c r="F69" s="173">
        <f>IF(OR($B$68&lt;$K19,$B$67&gt;$L19),0,(MIN($B$68,$L19)-MAX($B$67,$K19)+1))</f>
        <v>0</v>
      </c>
      <c r="G69" s="173">
        <f>ROUND(IF(ISERROR(F69/365),0,(F69/365))*12,0)</f>
        <v>0</v>
      </c>
      <c r="H69" s="172">
        <f>IF(OR($B$68&lt;$K19,$B$67&gt;$L19),0,M19)</f>
        <v>0</v>
      </c>
      <c r="I69" s="171">
        <f>(F69*$E$67)*H69</f>
        <v>0</v>
      </c>
      <c r="J69" s="170">
        <f>IF(ISERROR(I69/H69),0,(I69/H69))</f>
        <v>0</v>
      </c>
    </row>
    <row r="70" spans="1:10" x14ac:dyDescent="0.25">
      <c r="A70" s="177"/>
      <c r="C70" s="176"/>
      <c r="D70" s="175"/>
      <c r="E70" s="174"/>
      <c r="F70" s="173">
        <f>IF(OR($B$68&lt;$K20,$B$67&gt;$L20),0,(MIN($B$68,$L20)-MAX($B$67,$K20)+1))</f>
        <v>0</v>
      </c>
      <c r="G70" s="173">
        <f>ROUND(IF(ISERROR(F70/365),0,(F70/365))*12,0)</f>
        <v>0</v>
      </c>
      <c r="H70" s="172">
        <f>IF(OR($B$68&lt;$K20,$B$67&gt;$L20),0,M20)</f>
        <v>0</v>
      </c>
      <c r="I70" s="171">
        <f>(F70*$E$67)*H70</f>
        <v>0</v>
      </c>
      <c r="J70" s="170">
        <f>IF(ISERROR(I70/H70),0,(I70/H70))</f>
        <v>0</v>
      </c>
    </row>
    <row r="71" spans="1:10" x14ac:dyDescent="0.25">
      <c r="B71" s="169"/>
      <c r="C71" s="168"/>
      <c r="D71" s="167"/>
      <c r="E71" s="166"/>
      <c r="F71" s="165">
        <f>IF(OR($B$68&lt;$K21,$B$67&gt;$L21),0,(MIN($B$68,$L21)-MAX($B$67,$K21)+1))</f>
        <v>0</v>
      </c>
      <c r="G71" s="165">
        <f>ROUND(IF(ISERROR(F71/365),0,(F71/365))*12,0)</f>
        <v>0</v>
      </c>
      <c r="H71" s="164">
        <f>IF(OR($B$68&lt;$K21,$B$67&gt;$L21),0,M21)</f>
        <v>0</v>
      </c>
      <c r="I71" s="163">
        <f>(F71*$E$67)*H71</f>
        <v>0</v>
      </c>
      <c r="J71" s="162">
        <f>IF(ISERROR(I71/H71),0,(I71/H71))</f>
        <v>0</v>
      </c>
    </row>
    <row r="72" spans="1:10" ht="13" x14ac:dyDescent="0.3">
      <c r="B72" s="161" t="s">
        <v>164</v>
      </c>
      <c r="C72" s="160"/>
      <c r="D72" s="159">
        <f>SUM(D67:D71)</f>
        <v>0</v>
      </c>
      <c r="E72" s="158"/>
      <c r="F72" s="157">
        <f>SUM(F67:F71)</f>
        <v>0</v>
      </c>
      <c r="G72" s="156">
        <f>SUM(G67:G71)</f>
        <v>0</v>
      </c>
      <c r="H72" s="155" t="e">
        <f>AVERAGEIF(H67:H71,"&lt;&gt;0")</f>
        <v>#DIV/0!</v>
      </c>
      <c r="I72" s="154">
        <f>SUM(I67:I71)</f>
        <v>0</v>
      </c>
      <c r="J72" s="153">
        <f>SUM(J67:J71)</f>
        <v>0</v>
      </c>
    </row>
    <row r="73" spans="1:10" x14ac:dyDescent="0.25">
      <c r="F73" s="192"/>
    </row>
    <row r="74" spans="1:10" x14ac:dyDescent="0.25">
      <c r="F74" s="192"/>
    </row>
    <row r="75" spans="1:10" ht="13.5" thickBot="1" x14ac:dyDescent="0.35">
      <c r="A75" s="194" t="s">
        <v>178</v>
      </c>
      <c r="B75" s="190" t="s">
        <v>177</v>
      </c>
      <c r="C75" s="191" t="s">
        <v>175</v>
      </c>
      <c r="D75" s="193" t="s">
        <v>176</v>
      </c>
      <c r="E75" s="191" t="s">
        <v>175</v>
      </c>
      <c r="F75" s="192"/>
      <c r="G75" s="191" t="s">
        <v>175</v>
      </c>
      <c r="H75" s="177"/>
      <c r="I75" s="191" t="s">
        <v>175</v>
      </c>
      <c r="J75" s="191" t="s">
        <v>175</v>
      </c>
    </row>
    <row r="76" spans="1:10" ht="13.5" thickBot="1" x14ac:dyDescent="0.35">
      <c r="A76" s="177"/>
      <c r="B76" s="190" t="s">
        <v>174</v>
      </c>
      <c r="C76" s="187" t="s">
        <v>173</v>
      </c>
      <c r="D76" s="189" t="s">
        <v>172</v>
      </c>
      <c r="E76" s="188" t="s">
        <v>171</v>
      </c>
      <c r="F76" s="187" t="s">
        <v>170</v>
      </c>
      <c r="G76" s="187" t="s">
        <v>169</v>
      </c>
      <c r="H76" s="186" t="s">
        <v>163</v>
      </c>
      <c r="I76" s="186" t="s">
        <v>168</v>
      </c>
      <c r="J76" s="185" t="s">
        <v>167</v>
      </c>
    </row>
    <row r="77" spans="1:10" ht="13.5" thickBot="1" x14ac:dyDescent="0.35">
      <c r="A77" s="184" t="s">
        <v>166</v>
      </c>
      <c r="B77" s="178"/>
      <c r="C77" s="183">
        <f>ROUND(IF((B77=0),0,(B78-B77))/30,0)</f>
        <v>0</v>
      </c>
      <c r="D77" s="182">
        <v>0</v>
      </c>
      <c r="E77" s="181">
        <f>IF(ISERROR(D77/F82),0,(D77/F82))</f>
        <v>0</v>
      </c>
      <c r="F77" s="180">
        <f>IF(OR($B$78&lt;$K17,$B$77&gt;$L17),0,(MIN($B$78,$L17)-MAX($B$77,$K17)+1))</f>
        <v>0</v>
      </c>
      <c r="G77" s="173">
        <f>ROUND(IF(ISERROR(F77/365),0,(F77/365))*12,0)</f>
        <v>0</v>
      </c>
      <c r="H77" s="172">
        <f>IF(OR($B$78&lt;$K17,$B$77&gt;$L17),0,M17)</f>
        <v>0</v>
      </c>
      <c r="I77" s="171">
        <f>(F77*$E$77)*H77</f>
        <v>0</v>
      </c>
      <c r="J77" s="170">
        <f>IF(ISERROR(I77/H77),0,(I77/H77))</f>
        <v>0</v>
      </c>
    </row>
    <row r="78" spans="1:10" ht="13.5" thickBot="1" x14ac:dyDescent="0.35">
      <c r="A78" s="179" t="s">
        <v>165</v>
      </c>
      <c r="B78" s="178"/>
      <c r="D78" s="175"/>
      <c r="E78" s="174"/>
      <c r="F78" s="173">
        <f>IF(OR($B$78&lt;$K18,$B$77&gt;$L18),0,(MIN($B$78,$L18)-MAX($B$77,$K18)+1))</f>
        <v>0</v>
      </c>
      <c r="G78" s="173">
        <f>ROUND(IF(ISERROR(F78/365),0,(F78/365))*12,0)</f>
        <v>0</v>
      </c>
      <c r="H78" s="172">
        <f>IF(OR($B$78&lt;$K18,$B$77&gt;$L18),0,M18)</f>
        <v>0</v>
      </c>
      <c r="I78" s="171">
        <f>(F78*$E$77)*H78</f>
        <v>0</v>
      </c>
      <c r="J78" s="170">
        <f>IF(ISERROR(I78/H78),0,(I78/H78))</f>
        <v>0</v>
      </c>
    </row>
    <row r="79" spans="1:10" x14ac:dyDescent="0.25">
      <c r="C79" s="176"/>
      <c r="D79" s="175"/>
      <c r="E79" s="174"/>
      <c r="F79" s="173">
        <f>IF(OR($B$78&lt;$K19,$B$77&gt;$L19),0,(MIN($B$78,$L19)-MAX($B$77,$K19)+1))</f>
        <v>0</v>
      </c>
      <c r="G79" s="173">
        <f>ROUND(IF(ISERROR(F79/365),0,(F79/365))*12,0)</f>
        <v>0</v>
      </c>
      <c r="H79" s="172">
        <f>IF(OR($B$78&lt;$K19,$B$77&gt;$L19),0,M19)</f>
        <v>0</v>
      </c>
      <c r="I79" s="171">
        <f>(F79*$E$77)*H79</f>
        <v>0</v>
      </c>
      <c r="J79" s="170">
        <f>IF(ISERROR(I79/H79),0,(I79/H79))</f>
        <v>0</v>
      </c>
    </row>
    <row r="80" spans="1:10" x14ac:dyDescent="0.25">
      <c r="A80" s="177"/>
      <c r="C80" s="176"/>
      <c r="D80" s="175"/>
      <c r="E80" s="174"/>
      <c r="F80" s="173">
        <f>IF(OR($B$78&lt;$K20,$B$77&gt;$L20),0,(MIN($B$78,$L20)-MAX($B$77,$K20)+1))</f>
        <v>0</v>
      </c>
      <c r="G80" s="173">
        <f>ROUND(IF(ISERROR(F80/365),0,(F80/365))*12,0)</f>
        <v>0</v>
      </c>
      <c r="H80" s="172">
        <f>IF(OR($B$78&lt;$K20,$B$77&gt;$L20),0,M20)</f>
        <v>0</v>
      </c>
      <c r="I80" s="171">
        <f>(F80*$E$77)*H80</f>
        <v>0</v>
      </c>
      <c r="J80" s="170">
        <f>IF(ISERROR(I80/H80),0,(I80/H80))</f>
        <v>0</v>
      </c>
    </row>
    <row r="81" spans="2:10" x14ac:dyDescent="0.25">
      <c r="B81" s="169"/>
      <c r="C81" s="168"/>
      <c r="D81" s="167"/>
      <c r="E81" s="166"/>
      <c r="F81" s="165">
        <f>IF(OR($B$78&lt;$K21,$B$77&gt;$L21),0,(MIN($B$78,$L21)-MAX($B$77,$K21)+1))</f>
        <v>0</v>
      </c>
      <c r="G81" s="165">
        <f>ROUND(IF(ISERROR(F81/365),0,(F81/365))*12,0)</f>
        <v>0</v>
      </c>
      <c r="H81" s="164">
        <f>IF(OR($B$78&lt;$K21,$B$77&gt;$L21),0,M21)</f>
        <v>0</v>
      </c>
      <c r="I81" s="163">
        <f>(F81*$E$77)*H81</f>
        <v>0</v>
      </c>
      <c r="J81" s="162">
        <f>IF(ISERROR(I81/H81),0,(I81/H81))</f>
        <v>0</v>
      </c>
    </row>
    <row r="82" spans="2:10" ht="13" x14ac:dyDescent="0.3">
      <c r="B82" s="161" t="s">
        <v>164</v>
      </c>
      <c r="C82" s="160"/>
      <c r="D82" s="159">
        <f>SUM(D77:D81)</f>
        <v>0</v>
      </c>
      <c r="E82" s="158"/>
      <c r="F82" s="157">
        <f>SUM(F77:F81)</f>
        <v>0</v>
      </c>
      <c r="G82" s="156">
        <f>SUM(G77:G81)</f>
        <v>0</v>
      </c>
      <c r="H82" s="155" t="e">
        <f>AVERAGEIF(H77:H81,"&lt;&gt;0")</f>
        <v>#DIV/0!</v>
      </c>
      <c r="I82" s="154">
        <f>SUM(I77:I81)</f>
        <v>0</v>
      </c>
      <c r="J82" s="153">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200-000000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200-000001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200-000002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200-000003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200-000004000000}">
      <formula1>IF(C57=0,D57=0,D57&gt;0)</formula1>
    </dataValidation>
    <dataValidation type="date" allowBlank="1" showInputMessage="1" showErrorMessage="1" errorTitle="Project Start Date" error="The Project Start date must be less than or equal to the Project End Date." sqref="B17" xr:uid="{00000000-0002-0000-0200-000005000000}">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2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200-000007000000}">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200-000008000000}">
      <formula1>B17</formula1>
    </dataValidation>
    <dataValidation type="date" allowBlank="1" showInputMessage="1" showErrorMessage="1" errorTitle="Project Start Date" error="The Project Start date must be less than or equal to the Project End Date." sqref="B47 B27 B57 B67 B77 B37" xr:uid="{00000000-0002-0000-0200-000009000000}">
      <formula1>41275</formula1>
      <formula2>47848</formula2>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pageSetUpPr fitToPage="1"/>
  </sheetPr>
  <dimension ref="A1:T288"/>
  <sheetViews>
    <sheetView showZeros="0" zoomScale="106" zoomScaleNormal="106" zoomScaleSheetLayoutView="70" zoomScalePageLayoutView="85" workbookViewId="0">
      <pane xSplit="9" ySplit="4" topLeftCell="J20" activePane="bottomRight" state="frozen"/>
      <selection activeCell="A12" sqref="A12"/>
      <selection pane="topRight" activeCell="A12" sqref="A12"/>
      <selection pane="bottomLeft" activeCell="A12" sqref="A12"/>
      <selection pane="bottomRight" activeCell="G23" sqref="G23"/>
    </sheetView>
  </sheetViews>
  <sheetFormatPr defaultColWidth="9.1796875" defaultRowHeight="12.5" x14ac:dyDescent="0.25"/>
  <cols>
    <col min="1" max="1" width="9.1796875" style="142"/>
    <col min="2" max="2" width="1.7265625" style="142" customWidth="1"/>
    <col min="3" max="3" width="9.1796875" style="142"/>
    <col min="4" max="4" width="1.7265625" style="142" customWidth="1"/>
    <col min="5" max="8" width="9.1796875" style="142"/>
    <col min="9" max="9" width="16.26953125" style="142" customWidth="1"/>
    <col min="10" max="10" width="2.7265625" style="142" customWidth="1"/>
    <col min="11" max="11" width="12.26953125" style="142" customWidth="1"/>
    <col min="12" max="12" width="2.7265625" style="142" customWidth="1"/>
    <col min="13" max="13" width="12.26953125" style="142" customWidth="1"/>
    <col min="14" max="14" width="2.7265625" style="142" customWidth="1"/>
    <col min="15" max="15" width="12.26953125" style="142" customWidth="1"/>
    <col min="16" max="16" width="2.7265625" style="142" customWidth="1"/>
    <col min="17" max="17" width="12.26953125" style="142" customWidth="1"/>
    <col min="18" max="18" width="2.7265625" style="142" customWidth="1"/>
    <col min="19" max="19" width="12.26953125" style="142" customWidth="1"/>
    <col min="20" max="16384" width="9.1796875" style="142"/>
  </cols>
  <sheetData>
    <row r="1" spans="1:19" s="143" customFormat="1" ht="15.5" x14ac:dyDescent="0.35">
      <c r="C1" s="7" t="s">
        <v>74</v>
      </c>
      <c r="K1" s="4" t="s">
        <v>5</v>
      </c>
      <c r="M1" s="4" t="s">
        <v>42</v>
      </c>
      <c r="O1" s="4" t="s">
        <v>48</v>
      </c>
      <c r="Q1" s="4" t="s">
        <v>47</v>
      </c>
      <c r="S1" s="4" t="s">
        <v>46</v>
      </c>
    </row>
    <row r="2" spans="1:19" s="244" customFormat="1" ht="13" x14ac:dyDescent="0.3">
      <c r="C2" s="8"/>
      <c r="K2" s="3"/>
      <c r="M2" s="3"/>
      <c r="O2" s="3"/>
      <c r="Q2" s="3"/>
      <c r="S2" s="3"/>
    </row>
    <row r="3" spans="1:19" s="245" customFormat="1" ht="25" x14ac:dyDescent="0.25">
      <c r="C3" s="588"/>
      <c r="D3" s="588"/>
      <c r="E3" s="588"/>
      <c r="F3" s="588"/>
      <c r="G3" s="588"/>
      <c r="H3" s="588"/>
      <c r="I3" s="588"/>
      <c r="K3" s="245" t="s">
        <v>55</v>
      </c>
      <c r="M3" s="245" t="s">
        <v>55</v>
      </c>
      <c r="O3" s="245" t="s">
        <v>55</v>
      </c>
      <c r="Q3" s="245" t="s">
        <v>55</v>
      </c>
      <c r="S3" s="245" t="s">
        <v>55</v>
      </c>
    </row>
    <row r="4" spans="1:19" s="143" customFormat="1" ht="6" customHeight="1" x14ac:dyDescent="0.35"/>
    <row r="5" spans="1:19" s="143" customFormat="1" ht="6" customHeight="1" x14ac:dyDescent="0.35">
      <c r="C5" s="246"/>
      <c r="D5" s="246"/>
      <c r="E5" s="246"/>
      <c r="F5" s="246"/>
      <c r="G5" s="246"/>
      <c r="H5" s="246"/>
      <c r="I5" s="246"/>
      <c r="K5" s="144"/>
      <c r="M5" s="144"/>
      <c r="O5" s="144"/>
      <c r="Q5" s="144"/>
      <c r="S5" s="144"/>
    </row>
    <row r="6" spans="1:19" s="143" customFormat="1" ht="30" customHeight="1" x14ac:dyDescent="0.35">
      <c r="A6" s="247">
        <v>8</v>
      </c>
      <c r="C6" s="587" t="s">
        <v>146</v>
      </c>
      <c r="D6" s="587"/>
      <c r="E6" s="587"/>
      <c r="F6" s="587"/>
      <c r="G6" s="590" t="s">
        <v>49</v>
      </c>
      <c r="H6" s="590"/>
      <c r="I6" s="248" t="s">
        <v>50</v>
      </c>
      <c r="K6" s="144">
        <f>ROUND(IF(I6="1/2-time",K7,K8),0)</f>
        <v>21190</v>
      </c>
      <c r="M6" s="144">
        <f>ROUND(IF(I6="1/2-time",M7,M8),0)</f>
        <v>22080</v>
      </c>
      <c r="O6" s="144">
        <f>ROUND(IF(I6="1/2-time",O7,O8),0)</f>
        <v>23007</v>
      </c>
      <c r="Q6" s="144">
        <f>ROUND(IF(I6="1/2-time",Q7,Q8),0)</f>
        <v>23973</v>
      </c>
      <c r="S6" s="144">
        <f>ROUND(IF(I6="1/2-time",S7,S8),0)</f>
        <v>0</v>
      </c>
    </row>
    <row r="7" spans="1:19" s="143" customFormat="1" ht="15.5" hidden="1" x14ac:dyDescent="0.35">
      <c r="A7" s="143">
        <v>8</v>
      </c>
      <c r="C7" s="578" t="s">
        <v>51</v>
      </c>
      <c r="D7" s="578"/>
      <c r="E7" s="578"/>
      <c r="F7" s="578"/>
      <c r="G7" s="246"/>
      <c r="H7" s="246"/>
      <c r="I7" s="246" t="s">
        <v>52</v>
      </c>
      <c r="K7" s="144">
        <f>+C13*VLOOKUP(K13,$I$111:$Q$137,5,FALSE)+C15*VLOOKUP(K15,$I$111:$Q$137,5,FALSE)+C17*VLOOKUP(K17,$I$111:$Q$137,5,FALSE)+C19*VLOOKUP(K19,$I$111:$Q$137,9,FALSE)+C21*VLOOKUP(K21,$I$111:$Q$137,9,FALSE)+C23*VLOOKUP(K23,$I$111:$Q$137,9,FALSE)</f>
        <v>21189.770224000004</v>
      </c>
      <c r="M7" s="144">
        <f>+E13*VLOOKUP(M13,$I$111:$Q$137,5,FALSE)+E15*VLOOKUP(M15,$I$111:$Q$137,5,FALSE)+E17*VLOOKUP(M17,$I$111:$Q$137,5,FALSE)+E19*VLOOKUP(M19,$I$111:$Q$137,9,FALSE)+E21*VLOOKUP(M21,$I$111:$Q$137,9,FALSE)+E23*VLOOKUP(M23,$I$111:$Q$137,9,FALSE)</f>
        <v>22079.740573408006</v>
      </c>
      <c r="O7" s="144">
        <f>+F13*VLOOKUP(O13,$I$111:$Q$137,5,FALSE)+F15*VLOOKUP(O15,$I$111:$Q$137,5,FALSE)+F17*VLOOKUP(O17,$I$111:$Q$137,5,FALSE)+F19*VLOOKUP(O19,$I$111:$Q$137,9,FALSE)+F21*VLOOKUP(O21,$I$111:$Q$137,9,FALSE)+F23*VLOOKUP(O23,$I$111:$Q$137,9,FALSE)</f>
        <v>23007.089677491142</v>
      </c>
      <c r="Q7" s="144">
        <f>+G13*VLOOKUP(Q13,$I$111:$Q$137,5,FALSE)+G15*VLOOKUP(Q15,$I$111:$Q$137,5,FALSE)+G17*VLOOKUP(Q17,$I$111:$Q$137,5,FALSE)+G19*VLOOKUP(Q19,$I$111:$Q$137,9,FALSE)+G21*VLOOKUP(Q21,$I$111:$Q$137,9,FALSE)+G23*VLOOKUP(Q23,$I$111:$Q$137,9,FALSE)</f>
        <v>23973.387443945772</v>
      </c>
      <c r="S7" s="144">
        <f>+H13*VLOOKUP(S13,$I$111:$Q$137,5,FALSE)+H15*VLOOKUP(S15,$I$111:$Q$137,5,FALSE)+H17*VLOOKUP(S17,$I$111:$Q$137,5,FALSE)+H19*VLOOKUP(S19,$I$111:$Q$137,9,FALSE)+H21*VLOOKUP(S21,$I$111:$Q$137,9,FALSE)+H23*VLOOKUP(S23,$I$111:$Q$137,9,FALSE)</f>
        <v>0</v>
      </c>
    </row>
    <row r="8" spans="1:19" s="143" customFormat="1" ht="15.5" hidden="1" x14ac:dyDescent="0.35">
      <c r="A8" s="143">
        <v>8</v>
      </c>
      <c r="C8" s="578" t="s">
        <v>51</v>
      </c>
      <c r="D8" s="578"/>
      <c r="E8" s="578"/>
      <c r="F8" s="578"/>
      <c r="G8" s="246"/>
      <c r="H8" s="246"/>
      <c r="I8" s="246" t="s">
        <v>53</v>
      </c>
      <c r="K8" s="144">
        <f>+C13*VLOOKUP(K13,$I$111:$Q$137,3,FALSE)+C15*VLOOKUP(K15,$I$111:$Q$137,3,FALSE)+C17*VLOOKUP(K17,$I$111:$Q$137,3,FALSE)+C19*VLOOKUP(K19,$I$111:$Q$137,7,FALSE)+C21*VLOOKUP(K21,$I$111:$Q$137,7,FALSE)+C23*VLOOKUP(K23,$I$111:$Q$137,7,FALSE)</f>
        <v>10594.885112000002</v>
      </c>
      <c r="M8" s="144">
        <f>+E13*VLOOKUP(M13,$I$111:$Q$137,3,FALSE)+E15*VLOOKUP(M15,$I$111:$Q$137,3,FALSE)+E17*VLOOKUP(M17,$I$111:$Q$137,3,FALSE)+E19*VLOOKUP(M19,$I$111:$Q$137,7,FALSE)+E21*VLOOKUP(M21,$I$111:$Q$137,7,FALSE)+E23*VLOOKUP(M23,$I$111:$Q$137,7,FALSE)</f>
        <v>11039.870286704003</v>
      </c>
      <c r="O8" s="144">
        <f>+F13*VLOOKUP(O13,$I$111:$Q$137,3,FALSE)+F15*VLOOKUP(O15,$I$111:$Q$137,3,FALSE)+F17*VLOOKUP(O17,$I$111:$Q$137,3,FALSE)+F19*VLOOKUP(O19,$I$111:$Q$137,7,FALSE)+F21*VLOOKUP(O21,$I$111:$Q$137,7,FALSE)+F23*VLOOKUP(O23,$I$111:$Q$137,7,FALSE)</f>
        <v>11503.544838745571</v>
      </c>
      <c r="Q8" s="144">
        <f>+G13*VLOOKUP(Q13,$I$111:$Q$137,3,FALSE)+G15*VLOOKUP(Q15,$I$111:$Q$137,3,FALSE)+G17*VLOOKUP(Q17,$I$111:$Q$137,3,FALSE)+G19*VLOOKUP(Q19,$I$111:$Q$137,7,FALSE)+G21*VLOOKUP(Q21,$I$111:$Q$137,7,FALSE)+G23*VLOOKUP(Q23,$I$111:$Q$137,7,FALSE)</f>
        <v>11986.693721972886</v>
      </c>
      <c r="S8" s="144">
        <f>+H13*VLOOKUP(S13,$I$111:$Q$137,3,FALSE)+H15*VLOOKUP(S15,$I$111:$Q$137,3,FALSE)+H17*VLOOKUP(S17,$I$111:$Q$137,3,FALSE)+H19*VLOOKUP(S19,$I$111:$Q$137,7,FALSE)+H21*VLOOKUP(S21,$I$111:$Q$137,7,FALSE)+H23*VLOOKUP(S23,$I$111:$Q$137,7,FALSE)</f>
        <v>0</v>
      </c>
    </row>
    <row r="9" spans="1:19" s="143" customFormat="1" ht="6" customHeight="1" x14ac:dyDescent="0.35">
      <c r="C9" s="249"/>
      <c r="D9" s="249"/>
      <c r="E9" s="249"/>
      <c r="F9" s="249"/>
      <c r="G9" s="249"/>
      <c r="H9" s="249"/>
      <c r="I9" s="250"/>
      <c r="J9" s="251"/>
      <c r="K9" s="251"/>
      <c r="L9" s="251"/>
      <c r="M9" s="251"/>
      <c r="N9" s="251"/>
      <c r="O9" s="251"/>
      <c r="P9" s="251"/>
      <c r="Q9" s="251"/>
      <c r="R9" s="251"/>
      <c r="S9" s="251"/>
    </row>
    <row r="10" spans="1:19" s="244" customFormat="1" ht="6" customHeight="1" x14ac:dyDescent="0.25">
      <c r="A10" s="252"/>
      <c r="C10" s="253"/>
      <c r="D10" s="253"/>
      <c r="E10" s="253"/>
      <c r="F10" s="254"/>
      <c r="G10" s="254"/>
      <c r="H10" s="253"/>
      <c r="I10" s="255"/>
      <c r="J10" s="256"/>
      <c r="K10" s="255"/>
      <c r="L10" s="255"/>
      <c r="M10" s="255"/>
      <c r="N10" s="255"/>
      <c r="O10" s="255"/>
      <c r="P10" s="255"/>
      <c r="Q10" s="255"/>
      <c r="R10" s="255"/>
      <c r="S10" s="255"/>
    </row>
    <row r="11" spans="1:19" s="244" customFormat="1" ht="25" customHeight="1" x14ac:dyDescent="0.25">
      <c r="A11" s="252"/>
      <c r="C11" s="579" t="s">
        <v>147</v>
      </c>
      <c r="D11" s="580"/>
      <c r="E11" s="580"/>
      <c r="F11" s="580"/>
      <c r="G11" s="580"/>
      <c r="H11" s="581"/>
      <c r="I11" s="255"/>
      <c r="J11" s="256"/>
      <c r="K11" s="255"/>
      <c r="L11" s="255"/>
      <c r="M11" s="255"/>
      <c r="N11" s="255"/>
      <c r="O11" s="255"/>
      <c r="P11" s="255"/>
      <c r="Q11" s="255"/>
      <c r="R11" s="255"/>
      <c r="S11" s="255"/>
    </row>
    <row r="12" spans="1:19" s="244" customFormat="1" ht="12" customHeight="1" x14ac:dyDescent="0.25">
      <c r="C12" s="257" t="s">
        <v>5</v>
      </c>
      <c r="D12" s="257"/>
      <c r="E12" s="257" t="s">
        <v>42</v>
      </c>
      <c r="F12" s="257" t="s">
        <v>48</v>
      </c>
      <c r="G12" s="257" t="s">
        <v>47</v>
      </c>
      <c r="H12" s="257" t="s">
        <v>46</v>
      </c>
      <c r="I12" s="257"/>
      <c r="J12" s="258"/>
      <c r="K12" s="258"/>
      <c r="L12" s="258"/>
      <c r="M12" s="258"/>
      <c r="N12" s="258"/>
      <c r="O12" s="258"/>
      <c r="P12" s="258"/>
      <c r="Q12" s="258"/>
      <c r="R12" s="258"/>
      <c r="S12" s="258"/>
    </row>
    <row r="13" spans="1:19" s="244" customFormat="1" ht="25" customHeight="1" x14ac:dyDescent="0.25">
      <c r="A13" s="584" t="s">
        <v>210</v>
      </c>
      <c r="C13" s="583"/>
      <c r="D13" s="583"/>
      <c r="E13" s="259"/>
      <c r="F13" s="259"/>
      <c r="G13" s="260"/>
      <c r="H13" s="259"/>
      <c r="I13" s="147" t="s">
        <v>7</v>
      </c>
      <c r="K13" s="261" t="s">
        <v>142</v>
      </c>
      <c r="L13" s="147"/>
      <c r="M13" s="261" t="s">
        <v>155</v>
      </c>
      <c r="N13" s="147"/>
      <c r="O13" s="261" t="s">
        <v>160</v>
      </c>
      <c r="P13" s="147"/>
      <c r="Q13" s="261" t="s">
        <v>216</v>
      </c>
      <c r="R13" s="147"/>
      <c r="S13" s="261" t="s">
        <v>223</v>
      </c>
    </row>
    <row r="14" spans="1:19" s="244" customFormat="1" ht="6" customHeight="1" x14ac:dyDescent="0.25">
      <c r="A14" s="585"/>
      <c r="C14" s="262"/>
      <c r="D14" s="262"/>
      <c r="E14" s="263"/>
      <c r="F14" s="263"/>
      <c r="G14" s="263"/>
      <c r="H14" s="263"/>
      <c r="I14" s="147"/>
      <c r="K14" s="147"/>
      <c r="L14" s="147"/>
      <c r="M14" s="147"/>
      <c r="N14" s="147"/>
      <c r="O14" s="147"/>
      <c r="P14" s="147"/>
      <c r="Q14" s="147"/>
      <c r="R14" s="147"/>
      <c r="S14" s="147"/>
    </row>
    <row r="15" spans="1:19" s="244" customFormat="1" ht="25" customHeight="1" x14ac:dyDescent="0.25">
      <c r="A15" s="585"/>
      <c r="C15" s="583"/>
      <c r="D15" s="583"/>
      <c r="E15" s="259"/>
      <c r="F15" s="264"/>
      <c r="G15" s="260"/>
      <c r="H15" s="259"/>
      <c r="I15" s="147" t="s">
        <v>54</v>
      </c>
      <c r="K15" s="261" t="s">
        <v>138</v>
      </c>
      <c r="L15" s="147"/>
      <c r="M15" s="261" t="s">
        <v>154</v>
      </c>
      <c r="N15" s="147"/>
      <c r="O15" s="261" t="s">
        <v>158</v>
      </c>
      <c r="P15" s="147"/>
      <c r="Q15" s="261" t="s">
        <v>215</v>
      </c>
      <c r="R15" s="147"/>
      <c r="S15" s="261" t="s">
        <v>220</v>
      </c>
    </row>
    <row r="16" spans="1:19" s="244" customFormat="1" ht="6" customHeight="1" x14ac:dyDescent="0.25">
      <c r="A16" s="585"/>
      <c r="C16" s="262"/>
      <c r="D16" s="262"/>
      <c r="E16" s="263"/>
      <c r="F16" s="263"/>
      <c r="G16" s="263"/>
      <c r="H16" s="263"/>
      <c r="I16" s="147"/>
      <c r="K16" s="147"/>
      <c r="L16" s="147"/>
      <c r="M16" s="147"/>
      <c r="N16" s="147"/>
      <c r="O16" s="147"/>
      <c r="P16" s="147"/>
      <c r="Q16" s="147"/>
      <c r="R16" s="147"/>
      <c r="S16" s="147"/>
    </row>
    <row r="17" spans="1:19" s="244" customFormat="1" ht="25" customHeight="1" x14ac:dyDescent="0.25">
      <c r="A17" s="585"/>
      <c r="C17" s="583"/>
      <c r="D17" s="583"/>
      <c r="E17" s="259"/>
      <c r="F17" s="264"/>
      <c r="G17" s="260"/>
      <c r="H17" s="259"/>
      <c r="I17" s="147" t="s">
        <v>40</v>
      </c>
      <c r="K17" s="261" t="s">
        <v>151</v>
      </c>
      <c r="L17" s="147"/>
      <c r="M17" s="261" t="s">
        <v>156</v>
      </c>
      <c r="N17" s="147"/>
      <c r="O17" s="261" t="s">
        <v>159</v>
      </c>
      <c r="P17" s="147"/>
      <c r="Q17" s="261" t="s">
        <v>159</v>
      </c>
      <c r="R17" s="147"/>
      <c r="S17" s="261" t="s">
        <v>222</v>
      </c>
    </row>
    <row r="18" spans="1:19" s="244" customFormat="1" ht="12" customHeight="1" x14ac:dyDescent="0.25">
      <c r="C18" s="257" t="s">
        <v>5</v>
      </c>
      <c r="D18" s="257"/>
      <c r="E18" s="257" t="s">
        <v>42</v>
      </c>
      <c r="F18" s="257" t="s">
        <v>48</v>
      </c>
      <c r="G18" s="257" t="s">
        <v>47</v>
      </c>
      <c r="H18" s="257" t="s">
        <v>46</v>
      </c>
      <c r="I18" s="257"/>
      <c r="J18" s="258"/>
      <c r="K18" s="265"/>
      <c r="L18" s="265"/>
      <c r="M18" s="265"/>
      <c r="N18" s="265"/>
      <c r="O18" s="265"/>
      <c r="P18" s="265"/>
      <c r="Q18" s="265"/>
      <c r="R18" s="265"/>
      <c r="S18" s="265"/>
    </row>
    <row r="19" spans="1:19" s="244" customFormat="1" ht="25" customHeight="1" x14ac:dyDescent="0.25">
      <c r="A19" s="584" t="s">
        <v>211</v>
      </c>
      <c r="C19" s="583">
        <v>0</v>
      </c>
      <c r="D19" s="583"/>
      <c r="E19" s="259">
        <v>0</v>
      </c>
      <c r="F19" s="259">
        <v>0</v>
      </c>
      <c r="G19" s="260">
        <v>0</v>
      </c>
      <c r="H19" s="259"/>
      <c r="I19" s="147" t="s">
        <v>7</v>
      </c>
      <c r="K19" s="261" t="s">
        <v>142</v>
      </c>
      <c r="L19" s="147"/>
      <c r="M19" s="261" t="s">
        <v>155</v>
      </c>
      <c r="N19" s="147"/>
      <c r="O19" s="261" t="s">
        <v>160</v>
      </c>
      <c r="P19" s="147"/>
      <c r="Q19" s="261" t="s">
        <v>216</v>
      </c>
      <c r="R19" s="147"/>
      <c r="S19" s="261" t="s">
        <v>223</v>
      </c>
    </row>
    <row r="20" spans="1:19" s="244" customFormat="1" ht="6" customHeight="1" x14ac:dyDescent="0.25">
      <c r="A20" s="585"/>
      <c r="C20" s="262"/>
      <c r="D20" s="262"/>
      <c r="E20" s="263"/>
      <c r="F20" s="263"/>
      <c r="G20" s="263"/>
      <c r="H20" s="263"/>
      <c r="I20" s="147"/>
      <c r="K20" s="147"/>
      <c r="L20" s="147"/>
      <c r="M20" s="147"/>
      <c r="N20" s="147"/>
      <c r="O20" s="147"/>
      <c r="P20" s="147"/>
      <c r="Q20" s="147"/>
      <c r="R20" s="147"/>
      <c r="S20" s="147"/>
    </row>
    <row r="21" spans="1:19" s="244" customFormat="1" ht="25" customHeight="1" x14ac:dyDescent="0.25">
      <c r="A21" s="585"/>
      <c r="C21" s="583">
        <v>2</v>
      </c>
      <c r="D21" s="583"/>
      <c r="E21" s="259">
        <v>2</v>
      </c>
      <c r="F21" s="264">
        <v>2</v>
      </c>
      <c r="G21" s="260">
        <v>2</v>
      </c>
      <c r="H21" s="259"/>
      <c r="I21" s="147" t="s">
        <v>54</v>
      </c>
      <c r="K21" s="261" t="s">
        <v>138</v>
      </c>
      <c r="L21" s="147"/>
      <c r="M21" s="261" t="s">
        <v>154</v>
      </c>
      <c r="N21" s="147"/>
      <c r="O21" s="261" t="s">
        <v>158</v>
      </c>
      <c r="P21" s="147"/>
      <c r="Q21" s="261" t="s">
        <v>215</v>
      </c>
      <c r="R21" s="147"/>
      <c r="S21" s="261" t="s">
        <v>220</v>
      </c>
    </row>
    <row r="22" spans="1:19" s="244" customFormat="1" ht="6" customHeight="1" x14ac:dyDescent="0.25">
      <c r="A22" s="585"/>
      <c r="C22" s="262"/>
      <c r="D22" s="262"/>
      <c r="E22" s="263"/>
      <c r="F22" s="263"/>
      <c r="G22" s="263"/>
      <c r="H22" s="263"/>
      <c r="I22" s="147"/>
      <c r="K22" s="147"/>
      <c r="L22" s="147"/>
      <c r="M22" s="147"/>
      <c r="N22" s="147"/>
      <c r="O22" s="147"/>
      <c r="P22" s="147"/>
      <c r="Q22" s="147"/>
      <c r="R22" s="147"/>
      <c r="S22" s="147"/>
    </row>
    <row r="23" spans="1:19" s="244" customFormat="1" ht="25" customHeight="1" x14ac:dyDescent="0.25">
      <c r="A23" s="585"/>
      <c r="C23" s="586">
        <v>2</v>
      </c>
      <c r="D23" s="586"/>
      <c r="E23" s="266">
        <v>2</v>
      </c>
      <c r="F23" s="267">
        <v>2</v>
      </c>
      <c r="G23" s="268">
        <v>2</v>
      </c>
      <c r="H23" s="266"/>
      <c r="I23" s="147" t="s">
        <v>40</v>
      </c>
      <c r="K23" s="261" t="s">
        <v>151</v>
      </c>
      <c r="L23" s="147"/>
      <c r="M23" s="261" t="s">
        <v>156</v>
      </c>
      <c r="N23" s="147"/>
      <c r="O23" s="261" t="s">
        <v>159</v>
      </c>
      <c r="P23" s="147"/>
      <c r="Q23" s="261" t="s">
        <v>221</v>
      </c>
      <c r="R23" s="147"/>
      <c r="S23" s="261" t="s">
        <v>222</v>
      </c>
    </row>
    <row r="24" spans="1:19" s="143" customFormat="1" ht="6" customHeight="1" x14ac:dyDescent="0.35">
      <c r="C24" s="249"/>
      <c r="D24" s="249"/>
      <c r="E24" s="249"/>
      <c r="F24" s="249"/>
      <c r="G24" s="249"/>
      <c r="H24" s="249"/>
      <c r="I24" s="250"/>
      <c r="J24" s="251"/>
      <c r="K24" s="251"/>
      <c r="L24" s="251"/>
      <c r="M24" s="251"/>
      <c r="N24" s="251"/>
      <c r="O24" s="251"/>
      <c r="P24" s="251"/>
      <c r="Q24" s="251"/>
      <c r="R24" s="251"/>
      <c r="S24" s="251"/>
    </row>
    <row r="25" spans="1:19" s="269" customFormat="1" ht="6" customHeight="1" x14ac:dyDescent="0.35"/>
    <row r="26" spans="1:19" s="143" customFormat="1" ht="45.65" customHeight="1" x14ac:dyDescent="0.35">
      <c r="A26" s="247">
        <v>8</v>
      </c>
      <c r="C26" s="587" t="s">
        <v>145</v>
      </c>
      <c r="D26" s="587"/>
      <c r="E26" s="587"/>
      <c r="F26" s="587"/>
      <c r="G26" s="590" t="s">
        <v>49</v>
      </c>
      <c r="H26" s="590"/>
      <c r="I26" s="248" t="s">
        <v>50</v>
      </c>
      <c r="K26" s="144">
        <f>ROUND(IF($I$26="1/2-time",K27,K28),0)</f>
        <v>0</v>
      </c>
      <c r="M26" s="144">
        <f>ROUND(IF($I$26="1/2-time",M27,M28),0)</f>
        <v>0</v>
      </c>
      <c r="O26" s="144">
        <f>ROUND(IF($I$26="1/2-time",O27,O28),0)</f>
        <v>0</v>
      </c>
      <c r="Q26" s="144">
        <f>ROUND(IF($I$26="1/2-time",Q27,Q28),0)</f>
        <v>0</v>
      </c>
      <c r="S26" s="144">
        <f>ROUND(IF($I$26="1/2-time",S27,S28),0)</f>
        <v>0</v>
      </c>
    </row>
    <row r="27" spans="1:19" s="143" customFormat="1" ht="15.5" hidden="1" x14ac:dyDescent="0.35">
      <c r="A27" s="143">
        <v>8</v>
      </c>
      <c r="C27" s="578" t="s">
        <v>51</v>
      </c>
      <c r="D27" s="578"/>
      <c r="E27" s="578"/>
      <c r="F27" s="578"/>
      <c r="G27" s="246"/>
      <c r="H27" s="246"/>
      <c r="I27" s="246" t="s">
        <v>52</v>
      </c>
      <c r="K27" s="144">
        <f>+C33*VLOOKUP(K33,$I$141:$Q$167,5,FALSE)+C35*VLOOKUP(K35,$I$141:$Q$167,5,FALSE)+C37*VLOOKUP(K37,$I$141:$Q$167,5,FALSE)+C39*VLOOKUP(K39,$I$141:$Q$167,9,FALSE)+C41*VLOOKUP(K41,$I$141:$Q$167,9,FALSE)+C43*VLOOKUP(K43,$I$141:$Q$167,9,FALSE)</f>
        <v>0</v>
      </c>
      <c r="L27" s="144"/>
      <c r="M27" s="144">
        <f>+E33*VLOOKUP(M33,$I$141:$Q$167,5,FALSE)+E35*VLOOKUP(M35,$I$141:$Q$167,5,FALSE)+E37*VLOOKUP(M37,$I$141:$Q$167,5,FALSE)+E39*VLOOKUP(M39,$I$141:$Q$167,9,FALSE)+E41*VLOOKUP(M41,$I$141:$Q$167,9,FALSE)+E43*VLOOKUP(M43,$I$141:$Q$167,9,FALSE)</f>
        <v>0</v>
      </c>
      <c r="N27" s="144"/>
      <c r="O27" s="144">
        <f>+F33*VLOOKUP(O33,$I$141:$Q$167,5,FALSE)+F35*VLOOKUP(O35,$I$141:$Q$167,5,FALSE)+F37*VLOOKUP(O37,$I$141:$Q$167,5,FALSE)+F39*VLOOKUP(O39,$I$141:$Q$167,9,FALSE)+F41*VLOOKUP(O41,$I$141:$Q$167,9,FALSE)+F43*VLOOKUP(O43,$I$141:$Q$167,9,FALSE)</f>
        <v>0</v>
      </c>
      <c r="P27" s="144"/>
      <c r="Q27" s="144">
        <f>+G33*VLOOKUP(Q33,$I$141:$Q$167,5,FALSE)+G35*VLOOKUP(Q35,$I$141:$Q$167,5,FALSE)+G37*VLOOKUP(Q37,$I$141:$Q$167,5,FALSE)+G39*VLOOKUP(Q39,$I$141:$Q$167,9,FALSE)+G41*VLOOKUP(Q41,$I$141:$Q$167,9,FALSE)+G43*VLOOKUP(Q43,$I$141:$Q$167,9,FALSE)</f>
        <v>0</v>
      </c>
      <c r="R27" s="144"/>
      <c r="S27" s="144">
        <f>+H33*VLOOKUP(S33,$I$141:$Q$167,5,FALSE)+H35*VLOOKUP(S35,$I$141:$Q$167,5,FALSE)+H37*VLOOKUP(S37,$I$141:$Q$167,5,FALSE)+H39*VLOOKUP(S39,$I$141:$Q$167,9,FALSE)+H41*VLOOKUP(S41,$I$141:$Q$167,9,FALSE)+H43*VLOOKUP(S43,$I$141:$Q$167,9,FALSE)</f>
        <v>0</v>
      </c>
    </row>
    <row r="28" spans="1:19" s="143" customFormat="1" ht="18" hidden="1" customHeight="1" x14ac:dyDescent="0.35">
      <c r="A28" s="143">
        <v>8</v>
      </c>
      <c r="C28" s="578" t="s">
        <v>51</v>
      </c>
      <c r="D28" s="578"/>
      <c r="E28" s="578"/>
      <c r="F28" s="578"/>
      <c r="G28" s="246"/>
      <c r="H28" s="246"/>
      <c r="I28" s="246" t="s">
        <v>53</v>
      </c>
      <c r="K28" s="144">
        <f>+C33*VLOOKUP(K33,$I$141:$Q$167,3,FALSE)+C35*VLOOKUP(K35,$I$141:$Q$167,3,FALSE)+C37*VLOOKUP(K37,$I$141:$Q$167,3,FALSE)+C39*VLOOKUP(K39,$I$141:$Q$167,7,FALSE)+C41*VLOOKUP(K41,$I$141:$Q$167,7,FALSE)+C43*VLOOKUP(K43,$I$141:$Q$167,7,FALSE)</f>
        <v>0</v>
      </c>
      <c r="M28" s="144">
        <f>+E33*VLOOKUP(M33,$I$141:$Q$167,3,FALSE)+E35*VLOOKUP(M35,$I$141:$Q$167,3,FALSE)+E37*VLOOKUP(M37,$I$141:$Q$167,3,FALSE)+E39*VLOOKUP(M39,$I$141:$Q$167,7,FALSE)+E41*VLOOKUP(M41,$I$141:$Q$167,7,FALSE)+E43*VLOOKUP(M43,$I$141:$Q$167,7,FALSE)</f>
        <v>0</v>
      </c>
      <c r="O28" s="144">
        <f>+F33*VLOOKUP(O33,$I$141:$Q$167,3,FALSE)+F35*VLOOKUP(O35,$I$141:$Q$167,3,FALSE)+F37*VLOOKUP(O37,$I$141:$Q$167,3,FALSE)+F39*VLOOKUP(O39,$I$141:$Q$167,7,FALSE)+F41*VLOOKUP(O41,$I$141:$Q$167,7,FALSE)+F43*VLOOKUP(O43,$I$141:$Q$167,7,FALSE)</f>
        <v>0</v>
      </c>
      <c r="Q28" s="144">
        <f>+G33*VLOOKUP(Q33,$I$141:$Q$167,3,FALSE)+G35*VLOOKUP(Q35,$I$141:$Q$167,3,FALSE)+G37*VLOOKUP(Q37,$I$141:$Q$167,3,FALSE)+G39*VLOOKUP(Q39,$I$141:$Q$167,7,FALSE)+G41*VLOOKUP(Q41,$I$141:$Q$167,7,FALSE)+G43*VLOOKUP(Q43,$I$141:$Q$167,7,FALSE)</f>
        <v>0</v>
      </c>
      <c r="S28" s="144">
        <f>+H33*VLOOKUP(S33,$I$141:$Q$167,3,FALSE)+H35*VLOOKUP(S35,$I$141:$Q$167,3,FALSE)+H37*VLOOKUP(S37,$I$141:$Q$167,3,FALSE)+H39*VLOOKUP(S39,$I$141:$Q$167,7,FALSE)+H41*VLOOKUP(S41,$I$141:$Q$167,7,FALSE)+H43*VLOOKUP(S43,$I$141:$Q$167,7,FALSE)</f>
        <v>0</v>
      </c>
    </row>
    <row r="29" spans="1:19" s="143" customFormat="1" ht="6" customHeight="1" x14ac:dyDescent="0.35">
      <c r="C29" s="249"/>
      <c r="D29" s="249"/>
      <c r="E29" s="249"/>
      <c r="F29" s="249"/>
      <c r="G29" s="249"/>
      <c r="H29" s="249"/>
      <c r="I29" s="250"/>
      <c r="J29" s="251"/>
      <c r="K29" s="251"/>
      <c r="L29" s="251"/>
      <c r="M29" s="251"/>
      <c r="N29" s="251"/>
      <c r="O29" s="251"/>
      <c r="P29" s="251"/>
      <c r="Q29" s="251"/>
      <c r="R29" s="251"/>
      <c r="S29" s="251"/>
    </row>
    <row r="30" spans="1:19" s="244" customFormat="1" ht="6" customHeight="1" x14ac:dyDescent="0.25">
      <c r="A30" s="252"/>
      <c r="C30" s="253"/>
      <c r="D30" s="253"/>
      <c r="E30" s="253"/>
      <c r="F30" s="254"/>
      <c r="G30" s="254"/>
      <c r="H30" s="253"/>
      <c r="I30" s="255"/>
      <c r="J30" s="256"/>
      <c r="K30" s="255"/>
      <c r="L30" s="255"/>
      <c r="M30" s="255"/>
      <c r="N30" s="255"/>
      <c r="O30" s="255"/>
      <c r="P30" s="255"/>
      <c r="Q30" s="255"/>
      <c r="R30" s="255"/>
      <c r="S30" s="255"/>
    </row>
    <row r="31" spans="1:19" s="244" customFormat="1" ht="25" customHeight="1" x14ac:dyDescent="0.35">
      <c r="A31" s="270"/>
      <c r="B31" s="256"/>
      <c r="C31" s="579" t="s">
        <v>144</v>
      </c>
      <c r="D31" s="580"/>
      <c r="E31" s="580"/>
      <c r="F31" s="580"/>
      <c r="G31" s="580"/>
      <c r="H31" s="581"/>
      <c r="I31" s="255"/>
      <c r="J31" s="256"/>
      <c r="K31" s="144"/>
      <c r="L31" s="255"/>
      <c r="M31" s="144"/>
      <c r="N31" s="269"/>
      <c r="O31" s="144"/>
      <c r="P31" s="269"/>
      <c r="Q31" s="144"/>
      <c r="R31" s="269"/>
      <c r="S31" s="144"/>
    </row>
    <row r="32" spans="1:19" s="244" customFormat="1" ht="12" customHeight="1" x14ac:dyDescent="0.25">
      <c r="A32" s="256"/>
      <c r="B32" s="256"/>
      <c r="C32" s="271" t="s">
        <v>5</v>
      </c>
      <c r="D32" s="271"/>
      <c r="E32" s="271" t="s">
        <v>42</v>
      </c>
      <c r="F32" s="271" t="s">
        <v>48</v>
      </c>
      <c r="G32" s="271" t="s">
        <v>47</v>
      </c>
      <c r="H32" s="271" t="s">
        <v>46</v>
      </c>
      <c r="I32" s="271"/>
      <c r="J32" s="272"/>
      <c r="K32" s="272"/>
      <c r="L32" s="272"/>
      <c r="M32" s="272"/>
      <c r="N32" s="272"/>
      <c r="O32" s="272"/>
      <c r="P32" s="272"/>
      <c r="Q32" s="272"/>
      <c r="R32" s="272"/>
      <c r="S32" s="272"/>
    </row>
    <row r="33" spans="1:19" s="244" customFormat="1" ht="25" customHeight="1" x14ac:dyDescent="0.25">
      <c r="A33" s="574" t="s">
        <v>210</v>
      </c>
      <c r="B33" s="256"/>
      <c r="C33" s="575"/>
      <c r="D33" s="576"/>
      <c r="E33" s="259"/>
      <c r="F33" s="259"/>
      <c r="G33" s="260"/>
      <c r="H33" s="259"/>
      <c r="I33" s="255" t="s">
        <v>7</v>
      </c>
      <c r="J33" s="256"/>
      <c r="K33" s="261" t="s">
        <v>142</v>
      </c>
      <c r="L33" s="147"/>
      <c r="M33" s="261" t="s">
        <v>155</v>
      </c>
      <c r="N33" s="147"/>
      <c r="O33" s="261" t="s">
        <v>160</v>
      </c>
      <c r="P33" s="147"/>
      <c r="Q33" s="261" t="s">
        <v>216</v>
      </c>
      <c r="R33" s="147"/>
      <c r="S33" s="261" t="s">
        <v>223</v>
      </c>
    </row>
    <row r="34" spans="1:19" s="244" customFormat="1" ht="6" customHeight="1" x14ac:dyDescent="0.25">
      <c r="A34" s="582"/>
      <c r="B34" s="256"/>
      <c r="C34" s="273"/>
      <c r="D34" s="273"/>
      <c r="E34" s="274"/>
      <c r="F34" s="274"/>
      <c r="G34" s="274"/>
      <c r="H34" s="274"/>
      <c r="I34" s="255"/>
      <c r="J34" s="256"/>
      <c r="K34" s="147"/>
      <c r="L34" s="147"/>
      <c r="M34" s="147"/>
      <c r="N34" s="147"/>
      <c r="O34" s="147"/>
      <c r="P34" s="147"/>
      <c r="Q34" s="147"/>
      <c r="R34" s="147"/>
      <c r="S34" s="147"/>
    </row>
    <row r="35" spans="1:19" s="244" customFormat="1" ht="25" customHeight="1" x14ac:dyDescent="0.25">
      <c r="A35" s="582"/>
      <c r="B35" s="256"/>
      <c r="C35" s="583"/>
      <c r="D35" s="583"/>
      <c r="E35" s="259"/>
      <c r="F35" s="264"/>
      <c r="G35" s="260"/>
      <c r="H35" s="259"/>
      <c r="I35" s="255" t="s">
        <v>54</v>
      </c>
      <c r="J35" s="256"/>
      <c r="K35" s="261" t="s">
        <v>138</v>
      </c>
      <c r="L35" s="147"/>
      <c r="M35" s="261" t="s">
        <v>154</v>
      </c>
      <c r="N35" s="147"/>
      <c r="O35" s="261" t="s">
        <v>158</v>
      </c>
      <c r="P35" s="147"/>
      <c r="Q35" s="261" t="s">
        <v>215</v>
      </c>
      <c r="R35" s="147"/>
      <c r="S35" s="261" t="s">
        <v>220</v>
      </c>
    </row>
    <row r="36" spans="1:19" s="244" customFormat="1" ht="6" customHeight="1" x14ac:dyDescent="0.25">
      <c r="A36" s="582"/>
      <c r="B36" s="256"/>
      <c r="C36" s="273"/>
      <c r="D36" s="273"/>
      <c r="E36" s="274"/>
      <c r="F36" s="274"/>
      <c r="G36" s="274"/>
      <c r="H36" s="274"/>
      <c r="I36" s="255"/>
      <c r="J36" s="256"/>
      <c r="K36" s="147"/>
      <c r="L36" s="147"/>
      <c r="M36" s="147"/>
      <c r="N36" s="147"/>
      <c r="O36" s="147"/>
      <c r="P36" s="147"/>
      <c r="Q36" s="147"/>
      <c r="R36" s="147"/>
      <c r="S36" s="147"/>
    </row>
    <row r="37" spans="1:19" s="244" customFormat="1" ht="25" customHeight="1" x14ac:dyDescent="0.25">
      <c r="A37" s="582"/>
      <c r="B37" s="256"/>
      <c r="C37" s="583"/>
      <c r="D37" s="583"/>
      <c r="E37" s="259"/>
      <c r="F37" s="264"/>
      <c r="G37" s="260"/>
      <c r="H37" s="259"/>
      <c r="I37" s="255" t="s">
        <v>40</v>
      </c>
      <c r="J37" s="256"/>
      <c r="K37" s="261" t="s">
        <v>151</v>
      </c>
      <c r="L37" s="147"/>
      <c r="M37" s="261" t="s">
        <v>156</v>
      </c>
      <c r="N37" s="147"/>
      <c r="O37" s="261" t="s">
        <v>159</v>
      </c>
      <c r="P37" s="147"/>
      <c r="Q37" s="261" t="s">
        <v>159</v>
      </c>
      <c r="R37" s="147"/>
      <c r="S37" s="261" t="s">
        <v>222</v>
      </c>
    </row>
    <row r="38" spans="1:19" s="244" customFormat="1" ht="12" customHeight="1" x14ac:dyDescent="0.25">
      <c r="A38" s="256"/>
      <c r="B38" s="256"/>
      <c r="C38" s="275" t="s">
        <v>5</v>
      </c>
      <c r="D38" s="275"/>
      <c r="E38" s="275" t="s">
        <v>42</v>
      </c>
      <c r="F38" s="275" t="s">
        <v>48</v>
      </c>
      <c r="G38" s="275" t="s">
        <v>47</v>
      </c>
      <c r="H38" s="275" t="s">
        <v>46</v>
      </c>
      <c r="I38" s="271"/>
      <c r="J38" s="272"/>
      <c r="K38" s="265"/>
      <c r="L38" s="265"/>
      <c r="M38" s="265"/>
      <c r="N38" s="265"/>
      <c r="O38" s="265"/>
      <c r="P38" s="265"/>
      <c r="Q38" s="265"/>
      <c r="R38" s="265"/>
      <c r="S38" s="265"/>
    </row>
    <row r="39" spans="1:19" s="244" customFormat="1" ht="25" customHeight="1" x14ac:dyDescent="0.25">
      <c r="A39" s="574" t="s">
        <v>211</v>
      </c>
      <c r="B39" s="256"/>
      <c r="C39" s="583"/>
      <c r="D39" s="583"/>
      <c r="E39" s="259"/>
      <c r="F39" s="259"/>
      <c r="G39" s="260"/>
      <c r="H39" s="259"/>
      <c r="I39" s="255" t="s">
        <v>7</v>
      </c>
      <c r="J39" s="256"/>
      <c r="K39" s="261" t="s">
        <v>142</v>
      </c>
      <c r="L39" s="147"/>
      <c r="M39" s="261" t="s">
        <v>155</v>
      </c>
      <c r="N39" s="147"/>
      <c r="O39" s="261" t="s">
        <v>160</v>
      </c>
      <c r="P39" s="147"/>
      <c r="Q39" s="261" t="s">
        <v>216</v>
      </c>
      <c r="R39" s="147"/>
      <c r="S39" s="261" t="s">
        <v>223</v>
      </c>
    </row>
    <row r="40" spans="1:19" s="244" customFormat="1" ht="6" customHeight="1" x14ac:dyDescent="0.25">
      <c r="A40" s="582"/>
      <c r="B40" s="256"/>
      <c r="C40" s="273"/>
      <c r="D40" s="273"/>
      <c r="E40" s="274"/>
      <c r="F40" s="274"/>
      <c r="G40" s="274"/>
      <c r="H40" s="274"/>
      <c r="I40" s="255"/>
      <c r="J40" s="256"/>
      <c r="K40" s="147"/>
      <c r="L40" s="147"/>
      <c r="M40" s="147"/>
      <c r="N40" s="147"/>
      <c r="O40" s="147"/>
      <c r="P40" s="147"/>
      <c r="Q40" s="147"/>
      <c r="R40" s="147"/>
      <c r="S40" s="147"/>
    </row>
    <row r="41" spans="1:19" s="244" customFormat="1" ht="25" customHeight="1" x14ac:dyDescent="0.25">
      <c r="A41" s="582"/>
      <c r="B41" s="256"/>
      <c r="C41" s="583"/>
      <c r="D41" s="583"/>
      <c r="E41" s="259"/>
      <c r="F41" s="264"/>
      <c r="G41" s="260"/>
      <c r="H41" s="259"/>
      <c r="I41" s="255" t="s">
        <v>54</v>
      </c>
      <c r="J41" s="256"/>
      <c r="K41" s="261" t="s">
        <v>138</v>
      </c>
      <c r="L41" s="147"/>
      <c r="M41" s="261" t="s">
        <v>154</v>
      </c>
      <c r="N41" s="147"/>
      <c r="O41" s="261" t="s">
        <v>158</v>
      </c>
      <c r="P41" s="147"/>
      <c r="Q41" s="261" t="s">
        <v>215</v>
      </c>
      <c r="R41" s="147"/>
      <c r="S41" s="261" t="s">
        <v>220</v>
      </c>
    </row>
    <row r="42" spans="1:19" s="244" customFormat="1" ht="6" customHeight="1" x14ac:dyDescent="0.25">
      <c r="A42" s="582"/>
      <c r="B42" s="256"/>
      <c r="C42" s="273"/>
      <c r="D42" s="273"/>
      <c r="E42" s="274"/>
      <c r="F42" s="274"/>
      <c r="G42" s="274"/>
      <c r="H42" s="274"/>
      <c r="I42" s="255"/>
      <c r="J42" s="256"/>
      <c r="K42" s="147"/>
      <c r="L42" s="147"/>
      <c r="M42" s="147"/>
      <c r="N42" s="147"/>
      <c r="O42" s="147"/>
      <c r="P42" s="147"/>
      <c r="Q42" s="147"/>
      <c r="R42" s="147"/>
      <c r="S42" s="147"/>
    </row>
    <row r="43" spans="1:19" s="244" customFormat="1" ht="25" customHeight="1" x14ac:dyDescent="0.25">
      <c r="A43" s="582"/>
      <c r="B43" s="256"/>
      <c r="C43" s="583"/>
      <c r="D43" s="583"/>
      <c r="E43" s="259"/>
      <c r="F43" s="264"/>
      <c r="G43" s="260"/>
      <c r="H43" s="259"/>
      <c r="I43" s="255" t="s">
        <v>40</v>
      </c>
      <c r="J43" s="256"/>
      <c r="K43" s="261" t="s">
        <v>151</v>
      </c>
      <c r="L43" s="147"/>
      <c r="M43" s="261" t="s">
        <v>156</v>
      </c>
      <c r="N43" s="147"/>
      <c r="O43" s="261" t="s">
        <v>159</v>
      </c>
      <c r="P43" s="147"/>
      <c r="Q43" s="261" t="s">
        <v>221</v>
      </c>
      <c r="R43" s="147"/>
      <c r="S43" s="261" t="s">
        <v>222</v>
      </c>
    </row>
    <row r="44" spans="1:19" s="143" customFormat="1" ht="6" customHeight="1" x14ac:dyDescent="0.35">
      <c r="C44" s="276"/>
      <c r="D44" s="276"/>
      <c r="E44" s="276"/>
      <c r="F44" s="276"/>
      <c r="G44" s="276"/>
      <c r="H44" s="276"/>
      <c r="I44" s="276"/>
      <c r="J44" s="277"/>
      <c r="K44" s="277"/>
      <c r="L44" s="277"/>
      <c r="M44" s="277"/>
      <c r="N44" s="277"/>
      <c r="O44" s="277"/>
      <c r="P44" s="277"/>
      <c r="Q44" s="277"/>
      <c r="R44" s="277"/>
      <c r="S44" s="277"/>
    </row>
    <row r="45" spans="1:19" s="269" customFormat="1" ht="6" customHeight="1" x14ac:dyDescent="0.35"/>
    <row r="46" spans="1:19" s="143" customFormat="1" ht="44.25" customHeight="1" x14ac:dyDescent="0.35">
      <c r="A46" s="247">
        <v>8</v>
      </c>
      <c r="C46" s="587" t="s">
        <v>143</v>
      </c>
      <c r="D46" s="587"/>
      <c r="E46" s="587"/>
      <c r="F46" s="587"/>
      <c r="G46" s="589" t="s">
        <v>49</v>
      </c>
      <c r="H46" s="590"/>
      <c r="I46" s="248" t="s">
        <v>50</v>
      </c>
      <c r="K46" s="144">
        <f>ROUND(IF($I$46="1/2-time",K47,K48),0)</f>
        <v>0</v>
      </c>
      <c r="M46" s="144">
        <f>ROUND(IF($I$46="1/2-time",M47,M48),0)</f>
        <v>0</v>
      </c>
      <c r="O46" s="144">
        <f>ROUND(IF($I$46="1/2-time",O47,O48),0)</f>
        <v>0</v>
      </c>
      <c r="Q46" s="144">
        <f>ROUND(IF($I$46="1/2-time",Q47,Q48),0)</f>
        <v>0</v>
      </c>
      <c r="S46" s="144">
        <f>ROUND(IF($I$46="1/2-time",S47,S48),0)</f>
        <v>0</v>
      </c>
    </row>
    <row r="47" spans="1:19" s="143" customFormat="1" ht="3" customHeight="1" x14ac:dyDescent="0.35">
      <c r="A47" s="143">
        <v>8</v>
      </c>
      <c r="C47" s="578" t="s">
        <v>51</v>
      </c>
      <c r="D47" s="578"/>
      <c r="E47" s="578"/>
      <c r="F47" s="578"/>
      <c r="G47" s="246"/>
      <c r="H47" s="246"/>
      <c r="I47" s="246" t="s">
        <v>52</v>
      </c>
      <c r="K47" s="144">
        <f>+C53*VLOOKUP(K53,$I$171:$Q$197,5,FALSE)+C55*VLOOKUP(K55,$I$171:$Q$197,5,FALSE)+C57*VLOOKUP(K57,$I$171:$Q$197,5,FALSE)+C59*VLOOKUP(K59,$I$171:$Q$197,9,FALSE)+C61*VLOOKUP(K61,$I$171:$Q$197,9,FALSE)+C63*VLOOKUP(K63,$I$171:$Q$197,9,FALSE)</f>
        <v>0</v>
      </c>
      <c r="L47" s="144"/>
      <c r="M47" s="144">
        <f>+E53*VLOOKUP(M53,$I$171:$Q$197,5,FALSE)+E55*VLOOKUP(M55,$I$171:$Q$197,5,FALSE)+E57*VLOOKUP(M57,$I$171:$Q$197,5,FALSE)+E59*VLOOKUP(M59,$I$171:$Q$197,9,FALSE)+E61*VLOOKUP(M61,$I$171:$Q$197,9,FALSE)+E63*VLOOKUP(M63,$I$171:$Q$197,9,FALSE)</f>
        <v>0</v>
      </c>
      <c r="N47" s="144"/>
      <c r="O47" s="144">
        <f>+F53*VLOOKUP(O53,$I$171:$Q$197,5,FALSE)+F55*VLOOKUP(O55,$I$171:$Q$197,5,FALSE)+F57*VLOOKUP(O57,$I$171:$Q$197,5,FALSE)+F59*VLOOKUP(O59,$I$171:$Q$197,9,FALSE)+F61*VLOOKUP(O61,$I$171:$Q$197,9,FALSE)+F63*VLOOKUP(O63,$I$171:$Q$197,9,FALSE)</f>
        <v>0</v>
      </c>
      <c r="P47" s="144"/>
      <c r="Q47" s="144">
        <f>+G53*VLOOKUP(Q53,$I$171:$Q$197,5,FALSE)+G55*VLOOKUP(Q55,$I$171:$Q$197,5,FALSE)+G57*VLOOKUP(Q57,$I$171:$Q$197,5,FALSE)+G59*VLOOKUP(Q59,$I$171:$Q$197,9,FALSE)+G61*VLOOKUP(Q61,$I$171:$Q$197,9,FALSE)+G63*VLOOKUP(Q63,$I$171:$Q$197,9,FALSE)</f>
        <v>0</v>
      </c>
      <c r="R47" s="144"/>
      <c r="S47" s="144">
        <f>+H53*VLOOKUP(S53,$I$171:$Q$197,5,FALSE)+H55*VLOOKUP(S55,$I$171:$Q$197,5,FALSE)+H57*VLOOKUP(S57,$I$171:$Q$197,5,FALSE)+H59*VLOOKUP(S59,$I$171:$Q$197,9,FALSE)+H61*VLOOKUP(S61,$I$171:$Q$197,9,FALSE)+H63*VLOOKUP(S63,$I$171:$Q$197,9,FALSE)</f>
        <v>0</v>
      </c>
    </row>
    <row r="48" spans="1:19" s="143" customFormat="1" ht="2.25" customHeight="1" x14ac:dyDescent="0.35">
      <c r="A48" s="143">
        <v>8</v>
      </c>
      <c r="C48" s="578" t="s">
        <v>51</v>
      </c>
      <c r="D48" s="578"/>
      <c r="E48" s="578"/>
      <c r="F48" s="578"/>
      <c r="G48" s="246"/>
      <c r="H48" s="246"/>
      <c r="I48" s="246" t="s">
        <v>53</v>
      </c>
      <c r="K48" s="144">
        <f>+C53*VLOOKUP(K53,$I$171:$Q$197,3,FALSE)+C55*VLOOKUP(K55,$I$171:$Q$197,3,FALSE)+C57*VLOOKUP(K57,$I$171:$Q$197,3,FALSE)+C59*VLOOKUP(K59,$I$171:$Q$197,7,FALSE)+C61*VLOOKUP(K61,$I$171:$Q$197,7,FALSE)+C63*VLOOKUP(K63,$I$171:$Q$197,7,FALSE)</f>
        <v>0</v>
      </c>
      <c r="M48" s="144">
        <f>+E53*VLOOKUP(M53,$I$171:$Q$197,3,FALSE)+E55*VLOOKUP(M55,$I$171:$Q$197,3,FALSE)+E57*VLOOKUP(M57,$I$171:$Q$197,3,FALSE)+E59*VLOOKUP(M59,$I$171:$Q$197,7,FALSE)+E61*VLOOKUP(M61,$I$171:$Q$197,7,FALSE)+E63*VLOOKUP(M63,$I$171:$Q$197,7,FALSE)</f>
        <v>0</v>
      </c>
      <c r="O48" s="144">
        <f>+F53*VLOOKUP(O53,$I$171:$Q$197,3,FALSE)+F55*VLOOKUP(O55,$I$171:$Q$197,3,FALSE)+F57*VLOOKUP(O57,$I$171:$Q$197,3,FALSE)+F59*VLOOKUP(O59,$I$171:$Q$197,7,FALSE)+F61*VLOOKUP(O61,$I$171:$Q$197,7,FALSE)+F63*VLOOKUP(O63,$I$171:$Q$197,7,FALSE)</f>
        <v>0</v>
      </c>
      <c r="Q48" s="144">
        <f>+G53*VLOOKUP(Q53,$I$171:$Q$197,3,FALSE)+G55*VLOOKUP(Q55,$I$171:$Q$197,3,FALSE)+G57*VLOOKUP(Q57,$I$171:$Q$197,3,FALSE)+G59*VLOOKUP(Q59,$I$171:$Q$197,7,FALSE)+G61*VLOOKUP(Q61,$I$171:$Q$197,7,FALSE)+G63*VLOOKUP(Q63,$I$171:$Q$197,7,FALSE)</f>
        <v>0</v>
      </c>
      <c r="S48" s="144">
        <f>+H53*VLOOKUP(S53,$I$171:$Q$197,3,FALSE)+H55*VLOOKUP(S55,$I$171:$Q$197,3,FALSE)+H57*VLOOKUP(S57,$I$171:$Q$197,3,FALSE)+H59*VLOOKUP(S59,$I$171:$Q$197,7,FALSE)+H61*VLOOKUP(S61,$I$171:$Q$197,7,FALSE)+H63*VLOOKUP(S63,$I$171:$Q$197,7,FALSE)</f>
        <v>0</v>
      </c>
    </row>
    <row r="49" spans="1:19" s="143" customFormat="1" ht="6" customHeight="1" x14ac:dyDescent="0.35">
      <c r="C49" s="249"/>
      <c r="D49" s="249"/>
      <c r="E49" s="249"/>
      <c r="F49" s="249"/>
      <c r="G49" s="249"/>
      <c r="H49" s="249"/>
      <c r="I49" s="250"/>
      <c r="J49" s="251"/>
      <c r="K49" s="251"/>
      <c r="L49" s="251"/>
      <c r="M49" s="251"/>
      <c r="N49" s="251"/>
      <c r="O49" s="251"/>
      <c r="P49" s="251"/>
      <c r="Q49" s="251"/>
      <c r="R49" s="251"/>
      <c r="S49" s="251"/>
    </row>
    <row r="50" spans="1:19" s="244" customFormat="1" ht="6" customHeight="1" x14ac:dyDescent="0.25">
      <c r="A50" s="252"/>
      <c r="C50" s="253"/>
      <c r="D50" s="253"/>
      <c r="E50" s="253"/>
      <c r="F50" s="254"/>
      <c r="G50" s="254"/>
      <c r="H50" s="253"/>
      <c r="I50" s="255"/>
      <c r="J50" s="256"/>
      <c r="K50" s="255"/>
      <c r="L50" s="255"/>
      <c r="M50" s="255"/>
      <c r="N50" s="255"/>
      <c r="O50" s="255"/>
      <c r="P50" s="255"/>
      <c r="Q50" s="255"/>
      <c r="R50" s="255"/>
      <c r="S50" s="255"/>
    </row>
    <row r="51" spans="1:19" s="244" customFormat="1" ht="25" customHeight="1" x14ac:dyDescent="0.35">
      <c r="A51" s="270"/>
      <c r="B51" s="256"/>
      <c r="C51" s="579" t="s">
        <v>136</v>
      </c>
      <c r="D51" s="580"/>
      <c r="E51" s="580"/>
      <c r="F51" s="580"/>
      <c r="G51" s="580"/>
      <c r="H51" s="581"/>
      <c r="I51" s="255"/>
      <c r="J51" s="256"/>
      <c r="K51" s="144"/>
      <c r="L51" s="255"/>
      <c r="M51" s="144"/>
      <c r="N51" s="269"/>
      <c r="O51" s="144"/>
      <c r="P51" s="269"/>
      <c r="Q51" s="144"/>
      <c r="R51" s="269"/>
      <c r="S51" s="144"/>
    </row>
    <row r="52" spans="1:19" s="244" customFormat="1" ht="12" customHeight="1" x14ac:dyDescent="0.25">
      <c r="A52" s="256"/>
      <c r="B52" s="256"/>
      <c r="C52" s="271" t="s">
        <v>5</v>
      </c>
      <c r="D52" s="271"/>
      <c r="E52" s="271" t="s">
        <v>42</v>
      </c>
      <c r="F52" s="271" t="s">
        <v>48</v>
      </c>
      <c r="G52" s="271" t="s">
        <v>47</v>
      </c>
      <c r="H52" s="271" t="s">
        <v>46</v>
      </c>
      <c r="I52" s="271"/>
      <c r="J52" s="272"/>
      <c r="K52" s="272"/>
      <c r="L52" s="272"/>
      <c r="M52" s="272"/>
      <c r="N52" s="272"/>
      <c r="O52" s="272"/>
      <c r="P52" s="272"/>
      <c r="Q52" s="272"/>
      <c r="R52" s="272"/>
      <c r="S52" s="272"/>
    </row>
    <row r="53" spans="1:19" s="244" customFormat="1" ht="25" customHeight="1" x14ac:dyDescent="0.25">
      <c r="A53" s="574" t="s">
        <v>210</v>
      </c>
      <c r="B53" s="256"/>
      <c r="C53" s="575"/>
      <c r="D53" s="576"/>
      <c r="E53" s="259"/>
      <c r="F53" s="259"/>
      <c r="G53" s="260"/>
      <c r="H53" s="259"/>
      <c r="I53" s="255">
        <v>0</v>
      </c>
      <c r="J53" s="256"/>
      <c r="K53" s="261" t="s">
        <v>142</v>
      </c>
      <c r="L53" s="147"/>
      <c r="M53" s="261" t="s">
        <v>155</v>
      </c>
      <c r="N53" s="147"/>
      <c r="O53" s="261" t="s">
        <v>160</v>
      </c>
      <c r="P53" s="147"/>
      <c r="Q53" s="261" t="s">
        <v>216</v>
      </c>
      <c r="R53" s="147"/>
      <c r="S53" s="261" t="s">
        <v>223</v>
      </c>
    </row>
    <row r="54" spans="1:19" s="244" customFormat="1" ht="6" customHeight="1" x14ac:dyDescent="0.25">
      <c r="A54" s="582"/>
      <c r="B54" s="256"/>
      <c r="C54" s="273"/>
      <c r="D54" s="273"/>
      <c r="E54" s="274"/>
      <c r="F54" s="274"/>
      <c r="G54" s="274"/>
      <c r="H54" s="274"/>
      <c r="I54" s="255"/>
      <c r="J54" s="256"/>
      <c r="K54" s="147"/>
      <c r="L54" s="147"/>
      <c r="M54" s="147"/>
      <c r="N54" s="147"/>
      <c r="O54" s="147"/>
      <c r="P54" s="147"/>
      <c r="Q54" s="147"/>
      <c r="R54" s="147"/>
      <c r="S54" s="147"/>
    </row>
    <row r="55" spans="1:19" s="244" customFormat="1" ht="25" customHeight="1" x14ac:dyDescent="0.25">
      <c r="A55" s="582"/>
      <c r="B55" s="256"/>
      <c r="C55" s="583"/>
      <c r="D55" s="583"/>
      <c r="E55" s="259"/>
      <c r="F55" s="264"/>
      <c r="G55" s="260"/>
      <c r="H55" s="259"/>
      <c r="I55" s="255" t="s">
        <v>54</v>
      </c>
      <c r="J55" s="256"/>
      <c r="K55" s="261" t="s">
        <v>138</v>
      </c>
      <c r="L55" s="147"/>
      <c r="M55" s="261" t="s">
        <v>154</v>
      </c>
      <c r="N55" s="147"/>
      <c r="O55" s="261" t="s">
        <v>158</v>
      </c>
      <c r="P55" s="147"/>
      <c r="Q55" s="261" t="s">
        <v>215</v>
      </c>
      <c r="R55" s="147"/>
      <c r="S55" s="261" t="s">
        <v>220</v>
      </c>
    </row>
    <row r="56" spans="1:19" s="244" customFormat="1" ht="6" customHeight="1" x14ac:dyDescent="0.25">
      <c r="A56" s="582"/>
      <c r="B56" s="256"/>
      <c r="C56" s="273"/>
      <c r="D56" s="273"/>
      <c r="E56" s="274"/>
      <c r="F56" s="274"/>
      <c r="G56" s="274"/>
      <c r="H56" s="274"/>
      <c r="I56" s="255"/>
      <c r="J56" s="256"/>
      <c r="K56" s="147"/>
      <c r="L56" s="147"/>
      <c r="M56" s="147"/>
      <c r="N56" s="147"/>
      <c r="O56" s="147"/>
      <c r="P56" s="147"/>
      <c r="Q56" s="147"/>
      <c r="R56" s="147"/>
      <c r="S56" s="147"/>
    </row>
    <row r="57" spans="1:19" s="244" customFormat="1" ht="25" customHeight="1" x14ac:dyDescent="0.25">
      <c r="A57" s="582"/>
      <c r="B57" s="256"/>
      <c r="C57" s="583"/>
      <c r="D57" s="583"/>
      <c r="E57" s="259"/>
      <c r="F57" s="264"/>
      <c r="G57" s="260"/>
      <c r="H57" s="259"/>
      <c r="I57" s="255" t="s">
        <v>40</v>
      </c>
      <c r="J57" s="256"/>
      <c r="K57" s="261" t="s">
        <v>151</v>
      </c>
      <c r="L57" s="147"/>
      <c r="M57" s="261" t="s">
        <v>156</v>
      </c>
      <c r="N57" s="147"/>
      <c r="O57" s="261" t="s">
        <v>159</v>
      </c>
      <c r="P57" s="147"/>
      <c r="Q57" s="261" t="s">
        <v>159</v>
      </c>
      <c r="R57" s="147"/>
      <c r="S57" s="261" t="s">
        <v>222</v>
      </c>
    </row>
    <row r="58" spans="1:19" s="244" customFormat="1" ht="12" customHeight="1" x14ac:dyDescent="0.25">
      <c r="A58" s="256"/>
      <c r="B58" s="256"/>
      <c r="C58" s="275" t="s">
        <v>5</v>
      </c>
      <c r="D58" s="275"/>
      <c r="E58" s="275" t="s">
        <v>42</v>
      </c>
      <c r="F58" s="275" t="s">
        <v>48</v>
      </c>
      <c r="G58" s="275" t="s">
        <v>47</v>
      </c>
      <c r="H58" s="275" t="s">
        <v>46</v>
      </c>
      <c r="I58" s="271"/>
      <c r="J58" s="272"/>
      <c r="K58" s="265"/>
      <c r="L58" s="265"/>
      <c r="M58" s="265"/>
      <c r="N58" s="265"/>
      <c r="O58" s="265"/>
      <c r="P58" s="265"/>
      <c r="Q58" s="265"/>
      <c r="R58" s="265"/>
      <c r="S58" s="265"/>
    </row>
    <row r="59" spans="1:19" s="244" customFormat="1" ht="25" customHeight="1" x14ac:dyDescent="0.25">
      <c r="A59" s="574" t="s">
        <v>211</v>
      </c>
      <c r="B59" s="256"/>
      <c r="C59" s="583"/>
      <c r="D59" s="583"/>
      <c r="E59" s="259"/>
      <c r="F59" s="259"/>
      <c r="G59" s="260"/>
      <c r="H59" s="259"/>
      <c r="I59" s="255" t="s">
        <v>7</v>
      </c>
      <c r="J59" s="256"/>
      <c r="K59" s="261" t="s">
        <v>142</v>
      </c>
      <c r="L59" s="147"/>
      <c r="M59" s="261" t="s">
        <v>155</v>
      </c>
      <c r="N59" s="147"/>
      <c r="O59" s="261" t="s">
        <v>160</v>
      </c>
      <c r="P59" s="147"/>
      <c r="Q59" s="261" t="s">
        <v>216</v>
      </c>
      <c r="R59" s="147"/>
      <c r="S59" s="261" t="s">
        <v>223</v>
      </c>
    </row>
    <row r="60" spans="1:19" s="244" customFormat="1" ht="6" customHeight="1" x14ac:dyDescent="0.25">
      <c r="A60" s="582"/>
      <c r="B60" s="256"/>
      <c r="C60" s="273"/>
      <c r="D60" s="273"/>
      <c r="E60" s="274"/>
      <c r="F60" s="274"/>
      <c r="G60" s="274"/>
      <c r="H60" s="274"/>
      <c r="I60" s="255"/>
      <c r="J60" s="256"/>
      <c r="K60" s="147"/>
      <c r="L60" s="147"/>
      <c r="M60" s="147"/>
      <c r="N60" s="147"/>
      <c r="O60" s="147"/>
      <c r="P60" s="147"/>
      <c r="Q60" s="147"/>
      <c r="R60" s="147"/>
      <c r="S60" s="147"/>
    </row>
    <row r="61" spans="1:19" s="244" customFormat="1" ht="25" customHeight="1" x14ac:dyDescent="0.25">
      <c r="A61" s="582"/>
      <c r="B61" s="256"/>
      <c r="C61" s="583"/>
      <c r="D61" s="583"/>
      <c r="E61" s="259"/>
      <c r="F61" s="264"/>
      <c r="G61" s="260"/>
      <c r="H61" s="259"/>
      <c r="I61" s="255" t="s">
        <v>54</v>
      </c>
      <c r="J61" s="256"/>
      <c r="K61" s="261" t="s">
        <v>138</v>
      </c>
      <c r="L61" s="147"/>
      <c r="M61" s="261" t="s">
        <v>154</v>
      </c>
      <c r="N61" s="147"/>
      <c r="O61" s="261" t="s">
        <v>158</v>
      </c>
      <c r="P61" s="147"/>
      <c r="Q61" s="261" t="s">
        <v>215</v>
      </c>
      <c r="R61" s="147"/>
      <c r="S61" s="261" t="s">
        <v>220</v>
      </c>
    </row>
    <row r="62" spans="1:19" s="244" customFormat="1" ht="6.75" customHeight="1" x14ac:dyDescent="0.25">
      <c r="A62" s="582"/>
      <c r="B62" s="256"/>
      <c r="C62" s="273"/>
      <c r="D62" s="273"/>
      <c r="E62" s="274"/>
      <c r="F62" s="274"/>
      <c r="G62" s="274"/>
      <c r="H62" s="274"/>
      <c r="I62" s="255"/>
      <c r="J62" s="256"/>
      <c r="K62" s="147"/>
      <c r="L62" s="147"/>
      <c r="M62" s="147"/>
      <c r="N62" s="147"/>
      <c r="O62" s="147"/>
      <c r="P62" s="147"/>
      <c r="Q62" s="147"/>
      <c r="R62" s="147"/>
      <c r="S62" s="147"/>
    </row>
    <row r="63" spans="1:19" s="244" customFormat="1" ht="24.75" customHeight="1" x14ac:dyDescent="0.25">
      <c r="A63" s="582"/>
      <c r="B63" s="256"/>
      <c r="C63" s="583"/>
      <c r="D63" s="583"/>
      <c r="E63" s="259"/>
      <c r="F63" s="264"/>
      <c r="G63" s="260"/>
      <c r="H63" s="259"/>
      <c r="I63" s="255" t="s">
        <v>40</v>
      </c>
      <c r="J63" s="256"/>
      <c r="K63" s="261" t="s">
        <v>151</v>
      </c>
      <c r="L63" s="147"/>
      <c r="M63" s="261" t="s">
        <v>156</v>
      </c>
      <c r="N63" s="147"/>
      <c r="O63" s="261" t="s">
        <v>159</v>
      </c>
      <c r="P63" s="147"/>
      <c r="Q63" s="261" t="s">
        <v>221</v>
      </c>
      <c r="R63" s="147"/>
      <c r="S63" s="261" t="s">
        <v>222</v>
      </c>
    </row>
    <row r="64" spans="1:19" s="143" customFormat="1" ht="6" customHeight="1" x14ac:dyDescent="0.35">
      <c r="C64" s="276"/>
      <c r="D64" s="276"/>
      <c r="E64" s="276"/>
      <c r="F64" s="276"/>
      <c r="G64" s="276"/>
      <c r="H64" s="276"/>
      <c r="I64" s="276"/>
      <c r="J64" s="277"/>
      <c r="K64" s="277"/>
      <c r="L64" s="277"/>
      <c r="M64" s="277"/>
      <c r="N64" s="277"/>
      <c r="O64" s="277"/>
      <c r="P64" s="277"/>
      <c r="Q64" s="277"/>
      <c r="R64" s="277"/>
      <c r="S64" s="277"/>
    </row>
    <row r="65" spans="1:19" s="143" customFormat="1" ht="6" customHeight="1" x14ac:dyDescent="0.35">
      <c r="K65" s="144"/>
      <c r="M65" s="144"/>
      <c r="O65" s="144"/>
      <c r="Q65" s="144"/>
      <c r="S65" s="144"/>
    </row>
    <row r="66" spans="1:19" s="143" customFormat="1" ht="6" customHeight="1" x14ac:dyDescent="0.35">
      <c r="K66" s="144"/>
      <c r="M66" s="144"/>
      <c r="O66" s="144"/>
      <c r="Q66" s="144"/>
      <c r="S66" s="144"/>
    </row>
    <row r="67" spans="1:19" s="143" customFormat="1" ht="45" customHeight="1" x14ac:dyDescent="0.35">
      <c r="A67" s="247">
        <v>8</v>
      </c>
      <c r="C67" s="587" t="s">
        <v>212</v>
      </c>
      <c r="D67" s="587"/>
      <c r="E67" s="587"/>
      <c r="F67" s="587"/>
      <c r="G67" s="590" t="s">
        <v>49</v>
      </c>
      <c r="H67" s="590"/>
      <c r="I67" s="248" t="s">
        <v>50</v>
      </c>
      <c r="K67" s="144">
        <f>ROUND(IF($I67="1/2-time",K68,K69),0)</f>
        <v>0</v>
      </c>
      <c r="M67" s="144">
        <f>ROUND(IF($I$67="1/2-time",M68,M69),0)</f>
        <v>0</v>
      </c>
      <c r="O67" s="144">
        <f>ROUND(IF($I$67="1/2-time",O68,O69),0)</f>
        <v>0</v>
      </c>
      <c r="Q67" s="144">
        <f>ROUND(IF($I$67="1/2-time",Q68,Q69),0)</f>
        <v>0</v>
      </c>
      <c r="S67" s="144">
        <f>ROUND(IF($I$67="1/2-time",S68,S69),0)</f>
        <v>0</v>
      </c>
    </row>
    <row r="68" spans="1:19" s="143" customFormat="1" ht="14.25" hidden="1" customHeight="1" x14ac:dyDescent="0.35">
      <c r="A68" s="143">
        <v>8</v>
      </c>
      <c r="C68" s="578" t="s">
        <v>51</v>
      </c>
      <c r="D68" s="578"/>
      <c r="E68" s="578"/>
      <c r="F68" s="578"/>
      <c r="G68" s="286"/>
      <c r="H68" s="286"/>
      <c r="I68" s="286" t="s">
        <v>52</v>
      </c>
      <c r="K68" s="144">
        <f>+C74*VLOOKUP(K74,$I$201:$Q$227,5,FALSE)+C76*VLOOKUP(K76,$I$201:$Q$227,5,FALSE)+C78*VLOOKUP(K78,$I$201:$Q$227,5,FALSE)+C80*VLOOKUP(K80,$I$201:$Q$227,9,FALSE)+C82*VLOOKUP(K82,$I$201:$Q$227,9,FALSE)+C84*VLOOKUP(K84,$I$201:$Q$227,9,FALSE)</f>
        <v>0</v>
      </c>
      <c r="L68" s="144"/>
      <c r="M68" s="144">
        <f>+E74*VLOOKUP(M74,$I$201:$Q$227,5,FALSE)+E76*VLOOKUP(M76,$I$201:$Q$227,5,FALSE)+E78*VLOOKUP(M78,$I$201:$Q$227,5,FALSE)+E80*VLOOKUP(M80,$I$201:$Q$227,9,FALSE)+E82*VLOOKUP(M82,$I$201:$Q$227,9,FALSE)+E84*VLOOKUP(M84,$I$201:$Q$227,9,FALSE)</f>
        <v>0</v>
      </c>
      <c r="N68" s="144"/>
      <c r="O68" s="144">
        <f>+F74*VLOOKUP(O74,$I$201:$Q$227,5,FALSE)+F76*VLOOKUP(O76,$I$201:$Q$227,5,FALSE)+F78*VLOOKUP(O78,$I$201:$Q$227,5,FALSE)+F80*VLOOKUP(O80,$I$201:$Q$227,9,FALSE)+F82*VLOOKUP(O82,$I$201:$Q$227,9,FALSE)+F84*VLOOKUP(O84,$I$201:$Q$227,9,FALSE)</f>
        <v>0</v>
      </c>
      <c r="P68" s="144"/>
      <c r="Q68" s="144">
        <f>+G74*VLOOKUP(Q74,$I$201:$Q$227,5,FALSE)+G76*VLOOKUP(Q76,$I$201:$Q$227,5,FALSE)+G78*VLOOKUP(Q78,$I$201:$Q$227,5,FALSE)+G80*VLOOKUP(Q80,$I$201:$Q$227,9,FALSE)+G82*VLOOKUP(Q82,$I$201:$Q$227,9,FALSE)+G84*VLOOKUP(Q84,$I$201:$Q$227,9,FALSE)</f>
        <v>0</v>
      </c>
      <c r="R68" s="144"/>
      <c r="S68" s="144">
        <f>+H74*VLOOKUP(S74,$I$201:$Q$227,5,FALSE)+H76*VLOOKUP(S76,$I$201:$Q$227,5,FALSE)+H78*VLOOKUP(S78,$I$201:$Q$227,5,FALSE)+H80*VLOOKUP(S80,$I$201:$Q$227,9,FALSE)+H82*VLOOKUP(S82,$I$201:$Q$227,9,FALSE)+H84*VLOOKUP(S84,$I$201:$Q$227,9,FALSE)</f>
        <v>0</v>
      </c>
    </row>
    <row r="69" spans="1:19" s="143" customFormat="1" ht="21.75" hidden="1" customHeight="1" x14ac:dyDescent="0.35">
      <c r="A69" s="143">
        <v>8</v>
      </c>
      <c r="C69" s="578" t="s">
        <v>51</v>
      </c>
      <c r="D69" s="578"/>
      <c r="E69" s="578"/>
      <c r="F69" s="578"/>
      <c r="G69" s="286"/>
      <c r="H69" s="286"/>
      <c r="I69" s="286" t="s">
        <v>53</v>
      </c>
      <c r="K69" s="144">
        <f>+C74*VLOOKUP(K74,$I$201:$Q$227,3,FALSE)+C76*VLOOKUP(K76,$I$201:$Q$227,3,FALSE)+C78*VLOOKUP(K78,$I$201:$Q$227,3,FALSE)+C80*VLOOKUP(K80,$I$201:$Q$227,7,FALSE)+C82*VLOOKUP(K82,$I$201:$Q$227,7,FALSE)+C84*VLOOKUP(K84,$I$201:$Q$227,7,FALSE)</f>
        <v>0</v>
      </c>
      <c r="M69" s="144">
        <f>+E74*VLOOKUP(M74,$I$201:$Q$227,3,FALSE)+E76*VLOOKUP(M76,$I$201:$Q$227,3,FALSE)+E78*VLOOKUP(M78,$I$201:$Q$227,3,FALSE)+E80*VLOOKUP(M80,$I$201:$Q$227,7,FALSE)+E82*VLOOKUP(M82,$I$201:$Q$227,7,FALSE)+E84*VLOOKUP(M84,$I$201:$Q$227,7,FALSE)</f>
        <v>0</v>
      </c>
      <c r="O69" s="144">
        <f>+F74*VLOOKUP(O74,$I$201:$Q$227,3,FALSE)+F76*VLOOKUP(O76,$I$201:$Q$227,3,FALSE)+F78*VLOOKUP(O78,$I$201:$Q$227,3,FALSE)+F80*VLOOKUP(O80,$I$201:$Q$227,7,FALSE)+F82*VLOOKUP(O82,$I$201:$Q$227,7,FALSE)+F84*VLOOKUP(O84,$I$201:$Q$227,7,FALSE)</f>
        <v>0</v>
      </c>
      <c r="Q69" s="144">
        <f>+G74*VLOOKUP(Q74,$I$201:$Q$227,3,FALSE)+G76*VLOOKUP(Q76,$I$201:$Q$227,3,FALSE)+G78*VLOOKUP(Q78,$I$201:$Q$227,3,FALSE)+G80*VLOOKUP(Q80,$I$201:$Q$227,7,FALSE)+G82*VLOOKUP(Q82,$I$201:$Q$227,7,FALSE)+G84*VLOOKUP(Q84,$I$201:$Q$227,7,FALSE)</f>
        <v>0</v>
      </c>
      <c r="S69" s="144">
        <f>+H74*VLOOKUP(S74,$I$201:$Q$227,3,FALSE)+H76*VLOOKUP(S76,$I$201:$Q$227,3,FALSE)+H78*VLOOKUP(S78,$I$201:$Q$227,3,FALSE)+H80*VLOOKUP(S80,$I$201:$Q$227,7,FALSE)+H82*VLOOKUP(S82,$I$201:$Q$227,7,FALSE)+H84*VLOOKUP(S84,$I$201:$Q$227,7,FALSE)</f>
        <v>0</v>
      </c>
    </row>
    <row r="70" spans="1:19" s="143" customFormat="1" ht="6" customHeight="1" x14ac:dyDescent="0.35">
      <c r="C70" s="249"/>
      <c r="D70" s="249"/>
      <c r="E70" s="249"/>
      <c r="F70" s="249"/>
      <c r="G70" s="249"/>
      <c r="H70" s="249"/>
      <c r="I70" s="250"/>
      <c r="J70" s="251"/>
      <c r="K70" s="251"/>
      <c r="L70" s="251"/>
      <c r="M70" s="251"/>
      <c r="N70" s="251"/>
      <c r="O70" s="251"/>
      <c r="P70" s="251"/>
      <c r="Q70" s="251"/>
      <c r="R70" s="251"/>
      <c r="S70" s="251"/>
    </row>
    <row r="71" spans="1:19" s="244" customFormat="1" ht="6" customHeight="1" x14ac:dyDescent="0.25">
      <c r="A71" s="252"/>
      <c r="C71" s="253"/>
      <c r="D71" s="253"/>
      <c r="E71" s="253"/>
      <c r="F71" s="254"/>
      <c r="G71" s="254"/>
      <c r="H71" s="253"/>
      <c r="I71" s="255"/>
      <c r="J71" s="256"/>
      <c r="K71" s="255"/>
      <c r="L71" s="255"/>
      <c r="M71" s="255"/>
      <c r="N71" s="255"/>
      <c r="O71" s="255"/>
      <c r="P71" s="255"/>
      <c r="Q71" s="255"/>
      <c r="R71" s="255"/>
      <c r="S71" s="255"/>
    </row>
    <row r="72" spans="1:19" s="244" customFormat="1" ht="25" customHeight="1" x14ac:dyDescent="0.35">
      <c r="A72" s="270"/>
      <c r="B72" s="256"/>
      <c r="C72" s="579" t="s">
        <v>213</v>
      </c>
      <c r="D72" s="580"/>
      <c r="E72" s="580"/>
      <c r="F72" s="580"/>
      <c r="G72" s="580"/>
      <c r="H72" s="581"/>
      <c r="I72" s="255"/>
      <c r="J72" s="256"/>
      <c r="K72" s="144"/>
      <c r="L72" s="255"/>
      <c r="M72" s="144"/>
      <c r="N72" s="269"/>
      <c r="O72" s="144"/>
      <c r="P72" s="269"/>
      <c r="Q72" s="144"/>
      <c r="R72" s="269"/>
      <c r="S72" s="144"/>
    </row>
    <row r="73" spans="1:19" s="244" customFormat="1" ht="12" customHeight="1" x14ac:dyDescent="0.25">
      <c r="A73" s="256"/>
      <c r="B73" s="256"/>
      <c r="C73" s="271" t="s">
        <v>5</v>
      </c>
      <c r="D73" s="271"/>
      <c r="E73" s="271" t="s">
        <v>42</v>
      </c>
      <c r="F73" s="271" t="s">
        <v>48</v>
      </c>
      <c r="G73" s="271" t="s">
        <v>47</v>
      </c>
      <c r="H73" s="271" t="s">
        <v>46</v>
      </c>
      <c r="I73" s="271"/>
      <c r="J73" s="272"/>
      <c r="K73" s="272"/>
      <c r="L73" s="272"/>
      <c r="M73" s="272"/>
      <c r="N73" s="272"/>
      <c r="O73" s="272"/>
      <c r="P73" s="272"/>
      <c r="Q73" s="272"/>
      <c r="R73" s="272"/>
      <c r="S73" s="272"/>
    </row>
    <row r="74" spans="1:19" s="244" customFormat="1" ht="25" customHeight="1" x14ac:dyDescent="0.25">
      <c r="A74" s="574" t="s">
        <v>210</v>
      </c>
      <c r="B74" s="256"/>
      <c r="C74" s="575"/>
      <c r="D74" s="576"/>
      <c r="E74" s="287"/>
      <c r="F74" s="287"/>
      <c r="G74" s="260"/>
      <c r="H74" s="287"/>
      <c r="I74" s="255" t="s">
        <v>7</v>
      </c>
      <c r="J74" s="256"/>
      <c r="K74" s="261" t="s">
        <v>142</v>
      </c>
      <c r="L74" s="147"/>
      <c r="M74" s="261" t="s">
        <v>155</v>
      </c>
      <c r="N74" s="147"/>
      <c r="O74" s="261" t="s">
        <v>160</v>
      </c>
      <c r="P74" s="147"/>
      <c r="Q74" s="261" t="s">
        <v>216</v>
      </c>
      <c r="R74" s="147"/>
      <c r="S74" s="261" t="s">
        <v>223</v>
      </c>
    </row>
    <row r="75" spans="1:19" s="244" customFormat="1" ht="6" customHeight="1" x14ac:dyDescent="0.25">
      <c r="A75" s="574"/>
      <c r="B75" s="256"/>
      <c r="C75" s="273"/>
      <c r="D75" s="273"/>
      <c r="E75" s="274"/>
      <c r="F75" s="274"/>
      <c r="G75" s="274"/>
      <c r="H75" s="274"/>
      <c r="I75" s="255"/>
      <c r="J75" s="256"/>
      <c r="K75" s="147"/>
      <c r="L75" s="147"/>
      <c r="M75" s="147"/>
      <c r="N75" s="147"/>
      <c r="O75" s="147"/>
      <c r="P75" s="147"/>
      <c r="Q75" s="147"/>
      <c r="R75" s="147"/>
      <c r="S75" s="147"/>
    </row>
    <row r="76" spans="1:19" s="244" customFormat="1" ht="25" customHeight="1" x14ac:dyDescent="0.25">
      <c r="A76" s="574"/>
      <c r="B76" s="256"/>
      <c r="C76" s="575"/>
      <c r="D76" s="576"/>
      <c r="E76" s="287"/>
      <c r="F76" s="264"/>
      <c r="G76" s="260"/>
      <c r="H76" s="287"/>
      <c r="I76" s="255" t="s">
        <v>54</v>
      </c>
      <c r="J76" s="256"/>
      <c r="K76" s="261" t="s">
        <v>138</v>
      </c>
      <c r="L76" s="147"/>
      <c r="M76" s="261" t="s">
        <v>154</v>
      </c>
      <c r="N76" s="147"/>
      <c r="O76" s="261" t="s">
        <v>158</v>
      </c>
      <c r="P76" s="147"/>
      <c r="Q76" s="261" t="s">
        <v>215</v>
      </c>
      <c r="R76" s="147"/>
      <c r="S76" s="261" t="s">
        <v>220</v>
      </c>
    </row>
    <row r="77" spans="1:19" s="244" customFormat="1" ht="6" customHeight="1" x14ac:dyDescent="0.25">
      <c r="A77" s="574"/>
      <c r="B77" s="256"/>
      <c r="C77" s="273"/>
      <c r="D77" s="273"/>
      <c r="E77" s="274"/>
      <c r="F77" s="274"/>
      <c r="G77" s="274"/>
      <c r="H77" s="274"/>
      <c r="I77" s="255"/>
      <c r="J77" s="256"/>
      <c r="K77" s="147"/>
      <c r="L77" s="147"/>
      <c r="M77" s="147"/>
      <c r="N77" s="147"/>
      <c r="O77" s="147"/>
      <c r="P77" s="147"/>
      <c r="Q77" s="147"/>
      <c r="R77" s="147"/>
      <c r="S77" s="147"/>
    </row>
    <row r="78" spans="1:19" s="244" customFormat="1" ht="25" customHeight="1" x14ac:dyDescent="0.25">
      <c r="A78" s="574"/>
      <c r="B78" s="256"/>
      <c r="C78" s="575"/>
      <c r="D78" s="576"/>
      <c r="E78" s="287"/>
      <c r="F78" s="264"/>
      <c r="G78" s="260"/>
      <c r="H78" s="287"/>
      <c r="I78" s="255" t="s">
        <v>40</v>
      </c>
      <c r="J78" s="256"/>
      <c r="K78" s="261" t="s">
        <v>151</v>
      </c>
      <c r="L78" s="147"/>
      <c r="M78" s="261" t="s">
        <v>156</v>
      </c>
      <c r="N78" s="147"/>
      <c r="O78" s="261" t="s">
        <v>159</v>
      </c>
      <c r="P78" s="147"/>
      <c r="Q78" s="261" t="s">
        <v>159</v>
      </c>
      <c r="R78" s="147"/>
      <c r="S78" s="261" t="s">
        <v>222</v>
      </c>
    </row>
    <row r="79" spans="1:19" s="244" customFormat="1" ht="12" customHeight="1" x14ac:dyDescent="0.25">
      <c r="A79" s="256"/>
      <c r="B79" s="256"/>
      <c r="C79" s="275" t="s">
        <v>5</v>
      </c>
      <c r="D79" s="275"/>
      <c r="E79" s="275" t="s">
        <v>42</v>
      </c>
      <c r="F79" s="275" t="s">
        <v>48</v>
      </c>
      <c r="G79" s="275" t="s">
        <v>47</v>
      </c>
      <c r="H79" s="275" t="s">
        <v>46</v>
      </c>
      <c r="I79" s="271"/>
      <c r="J79" s="272"/>
      <c r="K79" s="265"/>
      <c r="L79" s="265"/>
      <c r="M79" s="265"/>
      <c r="N79" s="265"/>
      <c r="O79" s="265"/>
      <c r="P79" s="265"/>
      <c r="Q79" s="265"/>
      <c r="R79" s="265"/>
      <c r="S79" s="265"/>
    </row>
    <row r="80" spans="1:19" s="244" customFormat="1" ht="25" customHeight="1" x14ac:dyDescent="0.25">
      <c r="A80" s="574" t="s">
        <v>211</v>
      </c>
      <c r="B80" s="256"/>
      <c r="C80" s="575"/>
      <c r="D80" s="576"/>
      <c r="E80" s="287"/>
      <c r="F80" s="287"/>
      <c r="G80" s="260"/>
      <c r="H80" s="287"/>
      <c r="I80" s="255" t="s">
        <v>7</v>
      </c>
      <c r="J80" s="256"/>
      <c r="K80" s="261" t="s">
        <v>142</v>
      </c>
      <c r="L80" s="147"/>
      <c r="M80" s="261" t="s">
        <v>155</v>
      </c>
      <c r="N80" s="147"/>
      <c r="O80" s="261" t="s">
        <v>160</v>
      </c>
      <c r="P80" s="147"/>
      <c r="Q80" s="261" t="s">
        <v>216</v>
      </c>
      <c r="R80" s="147"/>
      <c r="S80" s="261" t="s">
        <v>223</v>
      </c>
    </row>
    <row r="81" spans="1:19" s="244" customFormat="1" ht="6" customHeight="1" x14ac:dyDescent="0.25">
      <c r="A81" s="574"/>
      <c r="B81" s="256"/>
      <c r="C81" s="273"/>
      <c r="D81" s="273"/>
      <c r="E81" s="274"/>
      <c r="F81" s="274"/>
      <c r="G81" s="274"/>
      <c r="H81" s="274"/>
      <c r="I81" s="255"/>
      <c r="J81" s="256"/>
      <c r="K81" s="147"/>
      <c r="L81" s="147"/>
      <c r="M81" s="147"/>
      <c r="N81" s="147"/>
      <c r="O81" s="147"/>
      <c r="P81" s="147"/>
      <c r="Q81" s="147"/>
      <c r="R81" s="147"/>
      <c r="S81" s="147"/>
    </row>
    <row r="82" spans="1:19" s="244" customFormat="1" ht="25" customHeight="1" x14ac:dyDescent="0.25">
      <c r="A82" s="574"/>
      <c r="B82" s="256"/>
      <c r="C82" s="575"/>
      <c r="D82" s="576"/>
      <c r="E82" s="287"/>
      <c r="F82" s="264"/>
      <c r="G82" s="260"/>
      <c r="H82" s="287"/>
      <c r="I82" s="255" t="s">
        <v>54</v>
      </c>
      <c r="J82" s="256"/>
      <c r="K82" s="261" t="s">
        <v>138</v>
      </c>
      <c r="L82" s="147"/>
      <c r="M82" s="261" t="s">
        <v>154</v>
      </c>
      <c r="N82" s="147"/>
      <c r="O82" s="261" t="s">
        <v>158</v>
      </c>
      <c r="P82" s="147"/>
      <c r="Q82" s="261" t="s">
        <v>215</v>
      </c>
      <c r="R82" s="147"/>
      <c r="S82" s="261" t="s">
        <v>220</v>
      </c>
    </row>
    <row r="83" spans="1:19" s="244" customFormat="1" ht="6.75" customHeight="1" x14ac:dyDescent="0.25">
      <c r="A83" s="574"/>
      <c r="B83" s="256"/>
      <c r="C83" s="273"/>
      <c r="D83" s="273"/>
      <c r="E83" s="274"/>
      <c r="F83" s="274"/>
      <c r="G83" s="274"/>
      <c r="H83" s="274"/>
      <c r="I83" s="255"/>
      <c r="J83" s="256"/>
      <c r="K83" s="147"/>
      <c r="L83" s="147"/>
      <c r="M83" s="147"/>
      <c r="N83" s="147"/>
      <c r="O83" s="147"/>
      <c r="P83" s="147"/>
      <c r="Q83" s="147"/>
      <c r="R83" s="147"/>
      <c r="S83" s="147"/>
    </row>
    <row r="84" spans="1:19" s="244" customFormat="1" ht="24.75" customHeight="1" x14ac:dyDescent="0.25">
      <c r="A84" s="574"/>
      <c r="B84" s="256"/>
      <c r="C84" s="575"/>
      <c r="D84" s="576"/>
      <c r="E84" s="287"/>
      <c r="F84" s="264"/>
      <c r="G84" s="260"/>
      <c r="H84" s="287"/>
      <c r="I84" s="255" t="s">
        <v>40</v>
      </c>
      <c r="J84" s="256"/>
      <c r="K84" s="261" t="s">
        <v>151</v>
      </c>
      <c r="L84" s="147"/>
      <c r="M84" s="261" t="s">
        <v>156</v>
      </c>
      <c r="N84" s="147"/>
      <c r="O84" s="261" t="s">
        <v>159</v>
      </c>
      <c r="P84" s="147"/>
      <c r="Q84" s="261" t="s">
        <v>221</v>
      </c>
      <c r="R84" s="147"/>
      <c r="S84" s="261" t="s">
        <v>222</v>
      </c>
    </row>
    <row r="85" spans="1:19" s="143" customFormat="1" ht="28.5" customHeight="1" x14ac:dyDescent="0.35">
      <c r="A85" s="577" t="s">
        <v>214</v>
      </c>
      <c r="B85" s="577"/>
      <c r="C85" s="577"/>
      <c r="D85" s="577"/>
      <c r="E85" s="577"/>
      <c r="F85" s="577"/>
      <c r="G85" s="577"/>
      <c r="H85" s="577"/>
      <c r="I85" s="577"/>
      <c r="K85" s="144"/>
      <c r="M85" s="144"/>
      <c r="O85" s="144"/>
      <c r="Q85" s="144"/>
      <c r="S85" s="144"/>
    </row>
    <row r="86" spans="1:19" s="143" customFormat="1" ht="11.25" customHeight="1" x14ac:dyDescent="0.35">
      <c r="A86" s="577"/>
      <c r="B86" s="577"/>
      <c r="C86" s="577"/>
      <c r="D86" s="577"/>
      <c r="E86" s="577"/>
      <c r="F86" s="577"/>
      <c r="G86" s="577"/>
      <c r="H86" s="577"/>
      <c r="I86" s="577"/>
      <c r="K86" s="144"/>
      <c r="M86" s="144"/>
      <c r="O86" s="144"/>
      <c r="Q86" s="144"/>
      <c r="S86" s="144"/>
    </row>
    <row r="87" spans="1:19" s="143" customFormat="1" ht="11.25" customHeight="1" x14ac:dyDescent="0.35">
      <c r="A87" s="288"/>
      <c r="B87" s="288"/>
      <c r="C87" s="288"/>
      <c r="D87" s="288"/>
      <c r="E87" s="288"/>
      <c r="F87" s="288"/>
      <c r="G87" s="288"/>
      <c r="H87" s="288"/>
      <c r="I87" s="288"/>
      <c r="K87" s="144"/>
      <c r="M87" s="144"/>
      <c r="O87" s="144"/>
      <c r="Q87" s="144"/>
      <c r="S87" s="144"/>
    </row>
    <row r="88" spans="1:19" s="143" customFormat="1" ht="45" customHeight="1" x14ac:dyDescent="0.35">
      <c r="A88" s="247">
        <v>8</v>
      </c>
      <c r="C88" s="587" t="s">
        <v>228</v>
      </c>
      <c r="D88" s="587"/>
      <c r="E88" s="587"/>
      <c r="F88" s="587"/>
      <c r="G88" s="590" t="s">
        <v>49</v>
      </c>
      <c r="H88" s="590"/>
      <c r="I88" s="248" t="s">
        <v>50</v>
      </c>
      <c r="K88" s="144">
        <f>ROUND(IF($I88="1/2-time",K89,K90),0)</f>
        <v>0</v>
      </c>
      <c r="M88" s="144">
        <f>ROUND(IF(I88="1/2-time",M89,M90),0)</f>
        <v>0</v>
      </c>
      <c r="O88" s="144">
        <f>ROUND(IF($I$88="1/2-time",O89,O90),0)</f>
        <v>0</v>
      </c>
      <c r="Q88" s="144">
        <f>ROUND(IF($I$88="1/2-time",Q89,Q90),0)</f>
        <v>0</v>
      </c>
      <c r="S88" s="144">
        <f>ROUND(IF($I$88="1/2-time",S89,S90),0)</f>
        <v>0</v>
      </c>
    </row>
    <row r="89" spans="1:19" s="143" customFormat="1" ht="14.25" hidden="1" customHeight="1" x14ac:dyDescent="0.35">
      <c r="A89" s="143">
        <v>8</v>
      </c>
      <c r="C89" s="578" t="s">
        <v>51</v>
      </c>
      <c r="D89" s="578"/>
      <c r="E89" s="578"/>
      <c r="F89" s="578"/>
      <c r="G89" s="286"/>
      <c r="H89" s="286"/>
      <c r="I89" s="286" t="s">
        <v>52</v>
      </c>
      <c r="K89" s="144">
        <f>+C95*VLOOKUP(K95,$I$231:$Q$257,5,FALSE)+C97*VLOOKUP(K97,$I$231:$Q$257,5,FALSE)+C99*VLOOKUP(K99,$I$231:$Q$257,5,FALSE)+C101*VLOOKUP(K101,$I$231:$Q$257,9,FALSE)+C103*VLOOKUP(K103,$I$231:$Q$257,9,FALSE)+C105*VLOOKUP(K105,$I$231:$Q$257,9,FALSE)</f>
        <v>0</v>
      </c>
      <c r="L89" s="144"/>
      <c r="M89" s="144">
        <f>+E95*VLOOKUP(M95,$I$231:$Q$257,5,FALSE)+E97*VLOOKUP(M97,$I$231:$Q$257,5,FALSE)+E99*VLOOKUP(M99,$I$231:$Q$257,5,FALSE)+E101*VLOOKUP(M101,$I$231:$Q$257,9,FALSE)+E103*VLOOKUP(M103,$I$231:$Q$257,9,FALSE)+E105*VLOOKUP(M105,$I$231:$Q$257,9,FALSE)</f>
        <v>0</v>
      </c>
      <c r="N89" s="144"/>
      <c r="O89" s="144">
        <f>+F95*VLOOKUP(O95,$I$231:$Q$257,5,FALSE)+F97*VLOOKUP(O97,$I$231:$Q$257,5,FALSE)+F99*VLOOKUP(O99,$I$231:$Q$257,5,FALSE)+F101*VLOOKUP(O101,$I$231:$Q$257,9,FALSE)+F103*VLOOKUP(O103,$I$231:$Q$257,9,FALSE)+F105*VLOOKUP(O105,$I$231:$Q$257,9,FALSE)</f>
        <v>0</v>
      </c>
      <c r="P89" s="144"/>
      <c r="Q89" s="144">
        <f>+G95*VLOOKUP(Q95,$I$231:$Q$257,5,FALSE)+G97*VLOOKUP(Q97,$I$231:$Q$257,5,FALSE)+G99*VLOOKUP(Q99,$I$231:$Q$257,5,FALSE)+G101*VLOOKUP(Q101,$I$231:$Q$257,9,FALSE)+G103*VLOOKUP(Q103,$I$231:$Q$257,9,FALSE)+G105*VLOOKUP(Q105,$I$231:$Q$257,9,FALSE)</f>
        <v>0</v>
      </c>
      <c r="R89" s="144"/>
      <c r="S89" s="144">
        <f>+H95*VLOOKUP(S95,$I$231:$Q$257,5,FALSE)+H97*VLOOKUP(S97,$I$231:$Q$257,5,FALSE)+H99*VLOOKUP(S99,$I$231:$Q$257,5,FALSE)+H101*VLOOKUP(S101,$I$231:$Q$257,9,FALSE)+H103*VLOOKUP(S103,$I$231:$Q$257,9,FALSE)+H105*VLOOKUP(S105,$I$231:$Q$257,9,FALSE)</f>
        <v>0</v>
      </c>
    </row>
    <row r="90" spans="1:19" s="143" customFormat="1" ht="21.75" hidden="1" customHeight="1" x14ac:dyDescent="0.35">
      <c r="A90" s="143">
        <v>8</v>
      </c>
      <c r="C90" s="578" t="s">
        <v>51</v>
      </c>
      <c r="D90" s="578"/>
      <c r="E90" s="578"/>
      <c r="F90" s="578"/>
      <c r="G90" s="286"/>
      <c r="H90" s="286"/>
      <c r="I90" s="286" t="s">
        <v>53</v>
      </c>
      <c r="K90" s="144">
        <f>+C95*VLOOKUP(K95,$I$231:$Q$257,3,FALSE)+C97*VLOOKUP(K97,$I$231:$Q$257,3,FALSE)+C99*VLOOKUP(K99,$I$231:$Q$257,3,FALSE)+C101*VLOOKUP(K101,$I$231:$Q$257,7,FALSE)+C103*VLOOKUP(K103,$I$231:$Q$257,7,FALSE)+C105*VLOOKUP(K105,$I$231:$Q$257,7,FALSE)</f>
        <v>0</v>
      </c>
      <c r="M90" s="144">
        <f>+E95*VLOOKUP(M95,$I$201:$Q$227,3,FALSE)+E97*VLOOKUP(M97,$I$201:$Q$227,3,FALSE)+E99*VLOOKUP(M99,$I$201:$Q$227,3,FALSE)+E101*VLOOKUP(M101,$I$201:$Q$227,7,FALSE)+E103*VLOOKUP(M103,$I$201:$Q$227,7,FALSE)+E105*VLOOKUP(M105,$I$201:$Q$227,7,FALSE)</f>
        <v>0</v>
      </c>
      <c r="O90" s="144">
        <f>+F95*VLOOKUP(O95,$I$231:$Q$257,3,FALSE)+F97*VLOOKUP(O97,$I$231:$Q$257,3,FALSE)+F99*VLOOKUP(O99,$I$231:$Q$257,3,FALSE)+F101*VLOOKUP(O101,$I$231:$Q$257,7,FALSE)+F103*VLOOKUP(O103,$I$231:$Q$257,7,FALSE)+F105*VLOOKUP(O105,$I$231:$Q$257,7,FALSE)</f>
        <v>0</v>
      </c>
      <c r="Q90" s="144">
        <f>+G95*VLOOKUP(Q95,$I$231:$Q$257,3,FALSE)+G97*VLOOKUP(Q97,$I$231:$Q$257,3,FALSE)+G99*VLOOKUP(Q99,$I$231:$Q$257,3,FALSE)+G101*VLOOKUP(Q101,$I$231:$Q$257,7,FALSE)+G103*VLOOKUP(Q103,$I$231:$Q$257,7,FALSE)+G105*VLOOKUP(Q105,$I$231:$Q$257,7,FALSE)</f>
        <v>0</v>
      </c>
      <c r="S90" s="144">
        <f>+H95*VLOOKUP(S95,$I$231:$Q$257,3,FALSE)+H97*VLOOKUP(S97,$I$231:$Q$257,3,FALSE)+H99*VLOOKUP(S99,$I$231:$Q$257,3,FALSE)+H101*VLOOKUP(S101,$I$231:$Q$257,7,FALSE)+H103*VLOOKUP(S103,$I$231:$Q$257,7,FALSE)+H105*VLOOKUP(S105,$I$231:$Q$257,7,FALSE)</f>
        <v>0</v>
      </c>
    </row>
    <row r="91" spans="1:19" s="143" customFormat="1" ht="6" customHeight="1" x14ac:dyDescent="0.35">
      <c r="C91" s="249"/>
      <c r="D91" s="249"/>
      <c r="E91" s="249"/>
      <c r="F91" s="249"/>
      <c r="G91" s="249"/>
      <c r="H91" s="249"/>
      <c r="I91" s="250"/>
      <c r="J91" s="251"/>
      <c r="K91" s="251"/>
      <c r="L91" s="251"/>
      <c r="M91" s="251"/>
      <c r="N91" s="251"/>
      <c r="O91" s="251"/>
      <c r="P91" s="251"/>
      <c r="Q91" s="251"/>
      <c r="R91" s="251"/>
      <c r="S91" s="251"/>
    </row>
    <row r="92" spans="1:19" s="244" customFormat="1" ht="6" customHeight="1" x14ac:dyDescent="0.25">
      <c r="A92" s="252"/>
      <c r="C92" s="253"/>
      <c r="D92" s="253"/>
      <c r="E92" s="253"/>
      <c r="F92" s="254"/>
      <c r="G92" s="254"/>
      <c r="H92" s="253"/>
      <c r="I92" s="255"/>
      <c r="J92" s="256"/>
      <c r="K92" s="255"/>
      <c r="L92" s="255"/>
      <c r="M92" s="255"/>
      <c r="N92" s="255"/>
      <c r="O92" s="255"/>
      <c r="P92" s="255"/>
      <c r="Q92" s="255"/>
      <c r="R92" s="255"/>
      <c r="S92" s="255"/>
    </row>
    <row r="93" spans="1:19" s="244" customFormat="1" ht="25" customHeight="1" x14ac:dyDescent="0.35">
      <c r="A93" s="270"/>
      <c r="B93" s="256"/>
      <c r="C93" s="579" t="s">
        <v>226</v>
      </c>
      <c r="D93" s="580"/>
      <c r="E93" s="580"/>
      <c r="F93" s="580"/>
      <c r="G93" s="580"/>
      <c r="H93" s="581"/>
      <c r="I93" s="255"/>
      <c r="J93" s="256"/>
      <c r="K93" s="144"/>
      <c r="L93" s="255"/>
      <c r="M93" s="144"/>
      <c r="N93" s="269"/>
      <c r="O93" s="144"/>
      <c r="P93" s="269"/>
      <c r="Q93" s="144"/>
      <c r="R93" s="269"/>
      <c r="S93" s="144"/>
    </row>
    <row r="94" spans="1:19" s="244" customFormat="1" ht="12" customHeight="1" x14ac:dyDescent="0.25">
      <c r="A94" s="256"/>
      <c r="B94" s="256"/>
      <c r="C94" s="271" t="s">
        <v>5</v>
      </c>
      <c r="D94" s="271"/>
      <c r="E94" s="271" t="s">
        <v>42</v>
      </c>
      <c r="F94" s="271" t="s">
        <v>48</v>
      </c>
      <c r="G94" s="271" t="s">
        <v>47</v>
      </c>
      <c r="H94" s="271" t="s">
        <v>46</v>
      </c>
      <c r="I94" s="271"/>
      <c r="J94" s="272"/>
      <c r="K94" s="272"/>
      <c r="L94" s="272"/>
      <c r="M94" s="272"/>
      <c r="N94" s="272"/>
      <c r="O94" s="272"/>
      <c r="P94" s="272"/>
      <c r="Q94" s="272"/>
      <c r="R94" s="272"/>
      <c r="S94" s="272"/>
    </row>
    <row r="95" spans="1:19" s="244" customFormat="1" ht="25" customHeight="1" x14ac:dyDescent="0.25">
      <c r="A95" s="574" t="s">
        <v>210</v>
      </c>
      <c r="B95" s="256"/>
      <c r="C95" s="575"/>
      <c r="D95" s="576"/>
      <c r="E95" s="287"/>
      <c r="F95" s="287"/>
      <c r="G95" s="260"/>
      <c r="H95" s="287"/>
      <c r="I95" s="255" t="s">
        <v>7</v>
      </c>
      <c r="J95" s="256"/>
      <c r="K95" s="261" t="s">
        <v>142</v>
      </c>
      <c r="L95" s="147"/>
      <c r="M95" s="261" t="s">
        <v>155</v>
      </c>
      <c r="N95" s="147"/>
      <c r="O95" s="261" t="s">
        <v>160</v>
      </c>
      <c r="P95" s="147"/>
      <c r="Q95" s="261" t="s">
        <v>216</v>
      </c>
      <c r="R95" s="147"/>
      <c r="S95" s="261" t="s">
        <v>223</v>
      </c>
    </row>
    <row r="96" spans="1:19" s="244" customFormat="1" ht="6" customHeight="1" x14ac:dyDescent="0.25">
      <c r="A96" s="582"/>
      <c r="B96" s="256"/>
      <c r="C96" s="273"/>
      <c r="D96" s="273"/>
      <c r="E96" s="274"/>
      <c r="F96" s="274"/>
      <c r="G96" s="274"/>
      <c r="H96" s="274"/>
      <c r="I96" s="255"/>
      <c r="J96" s="256"/>
      <c r="K96" s="147"/>
      <c r="L96" s="147"/>
      <c r="M96" s="147"/>
      <c r="N96" s="147"/>
      <c r="O96" s="147"/>
      <c r="P96" s="147"/>
      <c r="Q96" s="147"/>
      <c r="R96" s="147"/>
      <c r="S96" s="147"/>
    </row>
    <row r="97" spans="1:19" s="244" customFormat="1" ht="25" customHeight="1" x14ac:dyDescent="0.25">
      <c r="A97" s="582"/>
      <c r="B97" s="256"/>
      <c r="C97" s="583"/>
      <c r="D97" s="583"/>
      <c r="E97" s="287"/>
      <c r="F97" s="264"/>
      <c r="G97" s="260"/>
      <c r="H97" s="287"/>
      <c r="I97" s="255" t="s">
        <v>54</v>
      </c>
      <c r="J97" s="256"/>
      <c r="K97" s="261" t="s">
        <v>138</v>
      </c>
      <c r="L97" s="147"/>
      <c r="M97" s="261" t="s">
        <v>154</v>
      </c>
      <c r="N97" s="147"/>
      <c r="O97" s="261" t="s">
        <v>158</v>
      </c>
      <c r="P97" s="147"/>
      <c r="Q97" s="261" t="s">
        <v>215</v>
      </c>
      <c r="R97" s="147"/>
      <c r="S97" s="261" t="s">
        <v>220</v>
      </c>
    </row>
    <row r="98" spans="1:19" s="244" customFormat="1" ht="6" customHeight="1" x14ac:dyDescent="0.25">
      <c r="A98" s="582"/>
      <c r="B98" s="256"/>
      <c r="C98" s="273"/>
      <c r="D98" s="273"/>
      <c r="E98" s="274"/>
      <c r="F98" s="274"/>
      <c r="G98" s="274"/>
      <c r="H98" s="274"/>
      <c r="I98" s="255"/>
      <c r="J98" s="256"/>
      <c r="K98" s="147"/>
      <c r="L98" s="147"/>
      <c r="M98" s="147"/>
      <c r="N98" s="147"/>
      <c r="O98" s="147"/>
      <c r="P98" s="147"/>
      <c r="Q98" s="147"/>
      <c r="R98" s="147"/>
      <c r="S98" s="147"/>
    </row>
    <row r="99" spans="1:19" s="244" customFormat="1" ht="25" customHeight="1" x14ac:dyDescent="0.25">
      <c r="A99" s="582"/>
      <c r="B99" s="256"/>
      <c r="C99" s="583"/>
      <c r="D99" s="583"/>
      <c r="E99" s="287"/>
      <c r="F99" s="264"/>
      <c r="G99" s="260"/>
      <c r="H99" s="287"/>
      <c r="I99" s="255" t="s">
        <v>40</v>
      </c>
      <c r="J99" s="256"/>
      <c r="K99" s="261" t="s">
        <v>151</v>
      </c>
      <c r="L99" s="147"/>
      <c r="M99" s="261" t="s">
        <v>156</v>
      </c>
      <c r="N99" s="147"/>
      <c r="O99" s="261" t="s">
        <v>159</v>
      </c>
      <c r="P99" s="147"/>
      <c r="Q99" s="261" t="s">
        <v>159</v>
      </c>
      <c r="R99" s="147"/>
      <c r="S99" s="261" t="s">
        <v>222</v>
      </c>
    </row>
    <row r="100" spans="1:19" s="244" customFormat="1" ht="12" customHeight="1" x14ac:dyDescent="0.25">
      <c r="A100" s="256"/>
      <c r="B100" s="256"/>
      <c r="C100" s="275" t="s">
        <v>5</v>
      </c>
      <c r="D100" s="275"/>
      <c r="E100" s="275" t="s">
        <v>42</v>
      </c>
      <c r="F100" s="275" t="s">
        <v>48</v>
      </c>
      <c r="G100" s="275" t="s">
        <v>47</v>
      </c>
      <c r="H100" s="275" t="s">
        <v>46</v>
      </c>
      <c r="I100" s="271"/>
      <c r="J100" s="272"/>
      <c r="K100" s="265"/>
      <c r="L100" s="265"/>
      <c r="M100" s="265"/>
      <c r="N100" s="265"/>
      <c r="O100" s="265"/>
      <c r="P100" s="265"/>
      <c r="Q100" s="265"/>
      <c r="R100" s="265"/>
      <c r="S100" s="265"/>
    </row>
    <row r="101" spans="1:19" s="244" customFormat="1" ht="25" customHeight="1" x14ac:dyDescent="0.25">
      <c r="A101" s="574" t="s">
        <v>211</v>
      </c>
      <c r="B101" s="256"/>
      <c r="C101" s="583"/>
      <c r="D101" s="583"/>
      <c r="E101" s="287"/>
      <c r="F101" s="287"/>
      <c r="G101" s="260"/>
      <c r="H101" s="287"/>
      <c r="I101" s="255" t="s">
        <v>7</v>
      </c>
      <c r="J101" s="256"/>
      <c r="K101" s="261" t="s">
        <v>142</v>
      </c>
      <c r="L101" s="147"/>
      <c r="M101" s="261" t="s">
        <v>155</v>
      </c>
      <c r="N101" s="147"/>
      <c r="O101" s="261" t="s">
        <v>160</v>
      </c>
      <c r="P101" s="147"/>
      <c r="Q101" s="261" t="s">
        <v>216</v>
      </c>
      <c r="R101" s="147"/>
      <c r="S101" s="261" t="s">
        <v>223</v>
      </c>
    </row>
    <row r="102" spans="1:19" s="244" customFormat="1" ht="6" customHeight="1" x14ac:dyDescent="0.25">
      <c r="A102" s="582"/>
      <c r="B102" s="256"/>
      <c r="C102" s="273"/>
      <c r="D102" s="273"/>
      <c r="E102" s="274"/>
      <c r="F102" s="274"/>
      <c r="G102" s="274"/>
      <c r="H102" s="274"/>
      <c r="I102" s="255"/>
      <c r="J102" s="256"/>
      <c r="K102" s="147"/>
      <c r="L102" s="147"/>
      <c r="M102" s="147"/>
      <c r="N102" s="147"/>
      <c r="O102" s="147"/>
      <c r="P102" s="147"/>
      <c r="Q102" s="147"/>
      <c r="R102" s="147"/>
      <c r="S102" s="147"/>
    </row>
    <row r="103" spans="1:19" s="244" customFormat="1" ht="25" customHeight="1" x14ac:dyDescent="0.25">
      <c r="A103" s="582"/>
      <c r="B103" s="256"/>
      <c r="C103" s="583"/>
      <c r="D103" s="583"/>
      <c r="E103" s="287"/>
      <c r="F103" s="264"/>
      <c r="G103" s="260"/>
      <c r="H103" s="287"/>
      <c r="I103" s="255" t="s">
        <v>54</v>
      </c>
      <c r="J103" s="256"/>
      <c r="K103" s="261" t="s">
        <v>138</v>
      </c>
      <c r="L103" s="147"/>
      <c r="M103" s="261" t="s">
        <v>154</v>
      </c>
      <c r="N103" s="147"/>
      <c r="O103" s="261" t="s">
        <v>158</v>
      </c>
      <c r="P103" s="147"/>
      <c r="Q103" s="261" t="s">
        <v>215</v>
      </c>
      <c r="R103" s="147"/>
      <c r="S103" s="261" t="s">
        <v>220</v>
      </c>
    </row>
    <row r="104" spans="1:19" s="244" customFormat="1" ht="6.75" customHeight="1" x14ac:dyDescent="0.25">
      <c r="A104" s="582"/>
      <c r="B104" s="256"/>
      <c r="C104" s="273"/>
      <c r="D104" s="273"/>
      <c r="E104" s="274"/>
      <c r="F104" s="274"/>
      <c r="G104" s="274"/>
      <c r="H104" s="274"/>
      <c r="I104" s="255"/>
      <c r="J104" s="256"/>
      <c r="K104" s="147"/>
      <c r="L104" s="147"/>
      <c r="M104" s="147"/>
      <c r="N104" s="147"/>
      <c r="O104" s="147"/>
      <c r="P104" s="147"/>
      <c r="Q104" s="147"/>
      <c r="R104" s="147"/>
      <c r="S104" s="147"/>
    </row>
    <row r="105" spans="1:19" s="244" customFormat="1" ht="24.75" customHeight="1" x14ac:dyDescent="0.25">
      <c r="A105" s="582"/>
      <c r="B105" s="256"/>
      <c r="C105" s="583"/>
      <c r="D105" s="583"/>
      <c r="E105" s="287"/>
      <c r="F105" s="264"/>
      <c r="G105" s="260"/>
      <c r="H105" s="287"/>
      <c r="I105" s="255" t="s">
        <v>40</v>
      </c>
      <c r="J105" s="256"/>
      <c r="K105" s="261" t="s">
        <v>151</v>
      </c>
      <c r="L105" s="147"/>
      <c r="M105" s="261" t="s">
        <v>156</v>
      </c>
      <c r="N105" s="147"/>
      <c r="O105" s="261" t="s">
        <v>159</v>
      </c>
      <c r="P105" s="147"/>
      <c r="Q105" s="261" t="s">
        <v>221</v>
      </c>
      <c r="R105" s="147"/>
      <c r="S105" s="261" t="s">
        <v>222</v>
      </c>
    </row>
    <row r="106" spans="1:19" s="143" customFormat="1" ht="28.5" customHeight="1" x14ac:dyDescent="0.35">
      <c r="A106" s="304"/>
      <c r="B106" s="304"/>
      <c r="C106" s="304"/>
      <c r="D106" s="304"/>
      <c r="E106" s="304"/>
      <c r="F106" s="304"/>
      <c r="G106" s="304"/>
      <c r="H106" s="304"/>
      <c r="I106" s="304"/>
      <c r="J106" s="305"/>
      <c r="K106" s="306"/>
      <c r="M106" s="144"/>
      <c r="O106" s="144"/>
      <c r="Q106" s="144"/>
      <c r="S106" s="144"/>
    </row>
    <row r="107" spans="1:19" s="143" customFormat="1" ht="15.75" hidden="1" customHeight="1" x14ac:dyDescent="0.35">
      <c r="C107" s="145"/>
      <c r="D107" s="145"/>
      <c r="E107" s="145"/>
      <c r="F107" s="145"/>
      <c r="G107" s="145"/>
      <c r="H107" s="145"/>
      <c r="I107" s="145"/>
      <c r="K107" s="144" t="s">
        <v>56</v>
      </c>
      <c r="M107" s="144" t="s">
        <v>57</v>
      </c>
      <c r="O107" s="144" t="s">
        <v>58</v>
      </c>
      <c r="Q107" s="144" t="s">
        <v>59</v>
      </c>
      <c r="S107" s="144" t="s">
        <v>60</v>
      </c>
    </row>
    <row r="108" spans="1:19" s="143" customFormat="1" ht="12" hidden="1" customHeight="1" x14ac:dyDescent="0.35">
      <c r="M108" s="144"/>
      <c r="O108" s="144"/>
      <c r="Q108" s="144"/>
      <c r="S108" s="143">
        <v>1.042</v>
      </c>
    </row>
    <row r="109" spans="1:19" s="143" customFormat="1" ht="12.75" hidden="1" customHeight="1" x14ac:dyDescent="0.35">
      <c r="C109" s="141"/>
      <c r="D109" s="141"/>
      <c r="E109" s="141"/>
      <c r="F109" s="141"/>
      <c r="G109" s="141"/>
      <c r="H109" s="141"/>
      <c r="I109" s="147" t="s">
        <v>219</v>
      </c>
      <c r="J109" s="146"/>
      <c r="M109" s="144"/>
      <c r="O109" s="144"/>
      <c r="Q109" s="144"/>
      <c r="S109" s="289" t="s">
        <v>61</v>
      </c>
    </row>
    <row r="110" spans="1:19" s="143" customFormat="1" ht="12.75" hidden="1" customHeight="1" x14ac:dyDescent="0.35">
      <c r="C110" s="140"/>
      <c r="D110" s="140"/>
      <c r="E110" s="140"/>
      <c r="F110" s="140"/>
      <c r="G110" s="140"/>
      <c r="H110" s="140"/>
      <c r="I110" s="147"/>
      <c r="J110" s="146"/>
      <c r="M110" s="144"/>
      <c r="O110" s="144"/>
      <c r="Q110" s="144"/>
      <c r="R110" s="289"/>
      <c r="S110" s="289" t="s">
        <v>50</v>
      </c>
    </row>
    <row r="111" spans="1:19" s="143" customFormat="1" ht="12.75" hidden="1" customHeight="1" x14ac:dyDescent="0.35">
      <c r="C111" s="145"/>
      <c r="D111" s="145"/>
      <c r="E111" s="145"/>
      <c r="F111" s="145"/>
      <c r="G111" s="145"/>
      <c r="H111" s="145"/>
      <c r="I111" s="290" t="s">
        <v>134</v>
      </c>
      <c r="J111" s="291"/>
      <c r="K111" s="292">
        <f>$Q$111/4</f>
        <v>1219.75</v>
      </c>
      <c r="L111" s="291"/>
      <c r="M111" s="292">
        <f>$O$111</f>
        <v>2439.5</v>
      </c>
      <c r="N111" s="291"/>
      <c r="O111" s="292">
        <f>$Q$111/2</f>
        <v>2439.5</v>
      </c>
      <c r="P111" s="291"/>
      <c r="Q111" s="292">
        <v>4879</v>
      </c>
      <c r="S111" s="144"/>
    </row>
    <row r="112" spans="1:19" s="143" customFormat="1" ht="12.75" hidden="1" customHeight="1" x14ac:dyDescent="0.35">
      <c r="C112" s="141"/>
      <c r="D112" s="141"/>
      <c r="E112" s="141"/>
      <c r="F112" s="141"/>
      <c r="G112" s="141"/>
      <c r="H112" s="141"/>
      <c r="I112" s="290" t="s">
        <v>137</v>
      </c>
      <c r="J112" s="291"/>
      <c r="K112" s="293">
        <f>K111*$S$108</f>
        <v>1270.9795000000001</v>
      </c>
      <c r="L112" s="293"/>
      <c r="M112" s="293">
        <f>M111*$S$108</f>
        <v>2541.9590000000003</v>
      </c>
      <c r="N112" s="293"/>
      <c r="O112" s="293">
        <f>$Q$112/2</f>
        <v>2541.9590000000003</v>
      </c>
      <c r="P112" s="293"/>
      <c r="Q112" s="293">
        <f>Q111*$S$108</f>
        <v>5083.9180000000006</v>
      </c>
      <c r="S112" s="144"/>
    </row>
    <row r="113" spans="3:19" s="143" customFormat="1" ht="12.75" hidden="1" customHeight="1" x14ac:dyDescent="0.35">
      <c r="C113" s="145"/>
      <c r="D113" s="145"/>
      <c r="E113" s="145"/>
      <c r="F113" s="145"/>
      <c r="G113" s="145"/>
      <c r="H113" s="145"/>
      <c r="I113" s="290" t="s">
        <v>138</v>
      </c>
      <c r="J113" s="291"/>
      <c r="K113" s="293">
        <f t="shared" ref="K113:K118" si="0">K112*$S$108</f>
        <v>1324.3606390000002</v>
      </c>
      <c r="L113" s="291"/>
      <c r="M113" s="293">
        <f t="shared" ref="M113:Q118" si="1">M112*$S$108</f>
        <v>2648.7212780000004</v>
      </c>
      <c r="N113" s="291"/>
      <c r="O113" s="293">
        <f t="shared" si="1"/>
        <v>2648.7212780000004</v>
      </c>
      <c r="P113" s="291"/>
      <c r="Q113" s="293">
        <f t="shared" si="1"/>
        <v>5297.4425560000009</v>
      </c>
      <c r="S113" s="144"/>
    </row>
    <row r="114" spans="3:19" s="143" customFormat="1" ht="12.75" hidden="1" customHeight="1" x14ac:dyDescent="0.35">
      <c r="C114" s="145"/>
      <c r="D114" s="145"/>
      <c r="E114" s="145"/>
      <c r="F114" s="145"/>
      <c r="G114" s="145"/>
      <c r="H114" s="145"/>
      <c r="I114" s="290" t="s">
        <v>154</v>
      </c>
      <c r="J114" s="291"/>
      <c r="K114" s="293">
        <f t="shared" si="0"/>
        <v>1379.9837858380004</v>
      </c>
      <c r="L114" s="291"/>
      <c r="M114" s="293">
        <f t="shared" si="1"/>
        <v>2759.9675716760007</v>
      </c>
      <c r="N114" s="291"/>
      <c r="O114" s="293">
        <f t="shared" si="1"/>
        <v>2759.9675716760007</v>
      </c>
      <c r="P114" s="291"/>
      <c r="Q114" s="293">
        <f>Q113*$S$108</f>
        <v>5519.9351433520014</v>
      </c>
      <c r="S114" s="144"/>
    </row>
    <row r="115" spans="3:19" s="143" customFormat="1" ht="12.75" hidden="1" customHeight="1" x14ac:dyDescent="0.35">
      <c r="C115" s="145"/>
      <c r="D115" s="145"/>
      <c r="E115" s="145"/>
      <c r="F115" s="145"/>
      <c r="G115" s="145"/>
      <c r="H115" s="145"/>
      <c r="I115" s="290" t="s">
        <v>158</v>
      </c>
      <c r="J115" s="291"/>
      <c r="K115" s="293">
        <f t="shared" si="0"/>
        <v>1437.9431048431964</v>
      </c>
      <c r="L115" s="291"/>
      <c r="M115" s="293">
        <f t="shared" si="1"/>
        <v>2875.8862096863927</v>
      </c>
      <c r="N115" s="291"/>
      <c r="O115" s="293">
        <f t="shared" si="1"/>
        <v>2875.8862096863927</v>
      </c>
      <c r="P115" s="291"/>
      <c r="Q115" s="293">
        <f>Q114*$S$108</f>
        <v>5751.7724193727854</v>
      </c>
      <c r="S115" s="144"/>
    </row>
    <row r="116" spans="3:19" s="143" customFormat="1" ht="12.75" hidden="1" customHeight="1" x14ac:dyDescent="0.35">
      <c r="C116" s="145"/>
      <c r="D116" s="145"/>
      <c r="E116" s="145"/>
      <c r="F116" s="145"/>
      <c r="G116" s="145"/>
      <c r="H116" s="145"/>
      <c r="I116" s="290" t="s">
        <v>215</v>
      </c>
      <c r="J116" s="291"/>
      <c r="K116" s="293">
        <f t="shared" si="0"/>
        <v>1498.3367152466108</v>
      </c>
      <c r="L116" s="291"/>
      <c r="M116" s="293">
        <f t="shared" si="1"/>
        <v>2996.6734304932215</v>
      </c>
      <c r="N116" s="291"/>
      <c r="O116" s="293">
        <f t="shared" si="1"/>
        <v>2996.6734304932215</v>
      </c>
      <c r="P116" s="291"/>
      <c r="Q116" s="293">
        <f>Q115*$S$108</f>
        <v>5993.3468609864431</v>
      </c>
      <c r="S116" s="144"/>
    </row>
    <row r="117" spans="3:19" s="143" customFormat="1" ht="12.75" hidden="1" customHeight="1" x14ac:dyDescent="0.35">
      <c r="C117" s="145"/>
      <c r="D117" s="145"/>
      <c r="E117" s="145"/>
      <c r="F117" s="145"/>
      <c r="G117" s="145"/>
      <c r="H117" s="145"/>
      <c r="I117" s="290" t="s">
        <v>220</v>
      </c>
      <c r="J117" s="291"/>
      <c r="K117" s="293">
        <f t="shared" si="0"/>
        <v>1561.2668572869684</v>
      </c>
      <c r="L117" s="291"/>
      <c r="M117" s="293">
        <f t="shared" si="1"/>
        <v>3122.5337145739368</v>
      </c>
      <c r="N117" s="291"/>
      <c r="O117" s="293">
        <f t="shared" si="1"/>
        <v>3122.5337145739368</v>
      </c>
      <c r="P117" s="291"/>
      <c r="Q117" s="293">
        <f>Q116*$S$108</f>
        <v>6245.0674291478736</v>
      </c>
      <c r="S117" s="144"/>
    </row>
    <row r="118" spans="3:19" s="143" customFormat="1" ht="12.75" hidden="1" customHeight="1" x14ac:dyDescent="0.35">
      <c r="C118" s="145"/>
      <c r="D118" s="145"/>
      <c r="E118" s="145"/>
      <c r="F118" s="145"/>
      <c r="G118" s="145"/>
      <c r="H118" s="145"/>
      <c r="I118" s="290" t="s">
        <v>231</v>
      </c>
      <c r="J118" s="291"/>
      <c r="K118" s="293">
        <f t="shared" si="0"/>
        <v>1626.8400652930211</v>
      </c>
      <c r="L118" s="291"/>
      <c r="M118" s="293">
        <f t="shared" si="1"/>
        <v>3253.6801305860422</v>
      </c>
      <c r="N118" s="291"/>
      <c r="O118" s="293">
        <f t="shared" si="1"/>
        <v>3253.6801305860422</v>
      </c>
      <c r="P118" s="291"/>
      <c r="Q118" s="293">
        <f t="shared" si="1"/>
        <v>6507.3602611720844</v>
      </c>
      <c r="S118" s="144"/>
    </row>
    <row r="119" spans="3:19" s="143" customFormat="1" ht="12.75" hidden="1" customHeight="1" x14ac:dyDescent="0.35">
      <c r="C119" s="145"/>
      <c r="D119" s="145"/>
      <c r="E119" s="145"/>
      <c r="F119" s="145"/>
      <c r="G119" s="145"/>
      <c r="H119" s="145"/>
      <c r="I119" s="290"/>
      <c r="J119" s="294"/>
      <c r="K119" s="295"/>
      <c r="L119" s="291"/>
      <c r="M119" s="295"/>
      <c r="N119" s="291"/>
      <c r="O119" s="295"/>
      <c r="P119" s="291"/>
      <c r="Q119" s="295"/>
      <c r="S119" s="144"/>
    </row>
    <row r="120" spans="3:19" s="143" customFormat="1" ht="12.75" hidden="1" customHeight="1" x14ac:dyDescent="0.35">
      <c r="C120" s="145"/>
      <c r="D120" s="145"/>
      <c r="E120" s="145"/>
      <c r="F120" s="145"/>
      <c r="G120" s="145"/>
      <c r="H120" s="145"/>
      <c r="I120" s="290" t="s">
        <v>139</v>
      </c>
      <c r="J120" s="294"/>
      <c r="K120" s="296">
        <f>$Q$120/4</f>
        <v>1219.75</v>
      </c>
      <c r="L120" s="291"/>
      <c r="M120" s="296">
        <f>$Q$120/2</f>
        <v>2439.5</v>
      </c>
      <c r="N120" s="291"/>
      <c r="O120" s="296">
        <f>$Q$120/2</f>
        <v>2439.5</v>
      </c>
      <c r="P120" s="291"/>
      <c r="Q120" s="296">
        <v>4879</v>
      </c>
      <c r="S120" s="144"/>
    </row>
    <row r="121" spans="3:19" s="143" customFormat="1" ht="12.75" hidden="1" customHeight="1" x14ac:dyDescent="0.35">
      <c r="C121" s="141"/>
      <c r="D121" s="141"/>
      <c r="E121" s="141"/>
      <c r="F121" s="141"/>
      <c r="G121" s="141"/>
      <c r="H121" s="141"/>
      <c r="I121" s="290" t="s">
        <v>140</v>
      </c>
      <c r="J121" s="291"/>
      <c r="K121" s="293">
        <f>M121/2</f>
        <v>1270.9795000000001</v>
      </c>
      <c r="L121" s="291"/>
      <c r="M121" s="293">
        <f>O121</f>
        <v>2541.9590000000003</v>
      </c>
      <c r="N121" s="291"/>
      <c r="O121" s="293">
        <f>Q121/2</f>
        <v>2541.9590000000003</v>
      </c>
      <c r="P121" s="291"/>
      <c r="Q121" s="293">
        <f>Q120*$S$108</f>
        <v>5083.9180000000006</v>
      </c>
      <c r="S121" s="144"/>
    </row>
    <row r="122" spans="3:19" s="143" customFormat="1" ht="12.75" hidden="1" customHeight="1" x14ac:dyDescent="0.35">
      <c r="C122" s="145"/>
      <c r="D122" s="139"/>
      <c r="E122" s="145"/>
      <c r="F122" s="145"/>
      <c r="G122" s="145"/>
      <c r="H122" s="145"/>
      <c r="I122" s="290" t="s">
        <v>151</v>
      </c>
      <c r="J122" s="291"/>
      <c r="K122" s="293">
        <f t="shared" ref="K122:K127" si="2">K121*$S$108</f>
        <v>1324.3606390000002</v>
      </c>
      <c r="L122" s="291"/>
      <c r="M122" s="293">
        <f t="shared" ref="M122:M127" si="3">M121*$S$108</f>
        <v>2648.7212780000004</v>
      </c>
      <c r="N122" s="291"/>
      <c r="O122" s="293">
        <f t="shared" ref="O122:O127" si="4">O121*$S$108</f>
        <v>2648.7212780000004</v>
      </c>
      <c r="P122" s="291"/>
      <c r="Q122" s="293">
        <f>Q121*$S$108</f>
        <v>5297.4425560000009</v>
      </c>
      <c r="S122" s="144"/>
    </row>
    <row r="123" spans="3:19" s="143" customFormat="1" ht="12.75" hidden="1" customHeight="1" x14ac:dyDescent="0.35">
      <c r="C123" s="141"/>
      <c r="D123" s="141"/>
      <c r="E123" s="141"/>
      <c r="F123" s="141"/>
      <c r="G123" s="141"/>
      <c r="H123" s="141"/>
      <c r="I123" s="290" t="s">
        <v>156</v>
      </c>
      <c r="J123" s="291"/>
      <c r="K123" s="293">
        <f t="shared" si="2"/>
        <v>1379.9837858380004</v>
      </c>
      <c r="L123" s="291"/>
      <c r="M123" s="293">
        <f t="shared" si="3"/>
        <v>2759.9675716760007</v>
      </c>
      <c r="N123" s="291"/>
      <c r="O123" s="293">
        <f t="shared" si="4"/>
        <v>2759.9675716760007</v>
      </c>
      <c r="P123" s="291"/>
      <c r="Q123" s="293">
        <f t="shared" ref="Q123:Q127" si="5">Q122*$S$108</f>
        <v>5519.9351433520014</v>
      </c>
      <c r="S123" s="144"/>
    </row>
    <row r="124" spans="3:19" s="143" customFormat="1" ht="12.75" hidden="1" customHeight="1" x14ac:dyDescent="0.35">
      <c r="C124" s="141"/>
      <c r="D124" s="141"/>
      <c r="E124" s="141"/>
      <c r="F124" s="141"/>
      <c r="G124" s="141"/>
      <c r="H124" s="141"/>
      <c r="I124" s="290" t="s">
        <v>159</v>
      </c>
      <c r="J124" s="291"/>
      <c r="K124" s="293">
        <f t="shared" si="2"/>
        <v>1437.9431048431964</v>
      </c>
      <c r="L124" s="297"/>
      <c r="M124" s="293">
        <f t="shared" si="3"/>
        <v>2875.8862096863927</v>
      </c>
      <c r="N124" s="297"/>
      <c r="O124" s="293">
        <f t="shared" si="4"/>
        <v>2875.8862096863927</v>
      </c>
      <c r="P124" s="297"/>
      <c r="Q124" s="293">
        <f t="shared" si="5"/>
        <v>5751.7724193727854</v>
      </c>
      <c r="S124" s="144"/>
    </row>
    <row r="125" spans="3:19" s="143" customFormat="1" ht="12.75" hidden="1" customHeight="1" x14ac:dyDescent="0.35">
      <c r="C125" s="141"/>
      <c r="D125" s="141"/>
      <c r="E125" s="141"/>
      <c r="F125" s="141"/>
      <c r="G125" s="141"/>
      <c r="H125" s="141"/>
      <c r="I125" s="290" t="s">
        <v>221</v>
      </c>
      <c r="J125" s="291"/>
      <c r="K125" s="293">
        <f t="shared" si="2"/>
        <v>1498.3367152466108</v>
      </c>
      <c r="L125" s="297"/>
      <c r="M125" s="293">
        <f t="shared" si="3"/>
        <v>2996.6734304932215</v>
      </c>
      <c r="N125" s="297"/>
      <c r="O125" s="293">
        <f t="shared" si="4"/>
        <v>2996.6734304932215</v>
      </c>
      <c r="P125" s="297"/>
      <c r="Q125" s="293">
        <f t="shared" si="5"/>
        <v>5993.3468609864431</v>
      </c>
      <c r="S125" s="144"/>
    </row>
    <row r="126" spans="3:19" s="143" customFormat="1" ht="12.75" hidden="1" customHeight="1" x14ac:dyDescent="0.35">
      <c r="C126" s="141"/>
      <c r="D126" s="141"/>
      <c r="E126" s="141"/>
      <c r="F126" s="141"/>
      <c r="G126" s="141"/>
      <c r="H126" s="141"/>
      <c r="I126" s="290" t="s">
        <v>222</v>
      </c>
      <c r="J126" s="291"/>
      <c r="K126" s="293">
        <f t="shared" si="2"/>
        <v>1561.2668572869684</v>
      </c>
      <c r="L126" s="297"/>
      <c r="M126" s="293">
        <f t="shared" si="3"/>
        <v>3122.5337145739368</v>
      </c>
      <c r="N126" s="297"/>
      <c r="O126" s="293">
        <f t="shared" si="4"/>
        <v>3122.5337145739368</v>
      </c>
      <c r="P126" s="297"/>
      <c r="Q126" s="293">
        <f t="shared" si="5"/>
        <v>6245.0674291478736</v>
      </c>
      <c r="S126" s="144"/>
    </row>
    <row r="127" spans="3:19" s="143" customFormat="1" ht="12.75" hidden="1" customHeight="1" x14ac:dyDescent="0.35">
      <c r="C127" s="141"/>
      <c r="D127" s="141"/>
      <c r="E127" s="141"/>
      <c r="F127" s="141"/>
      <c r="G127" s="141"/>
      <c r="H127" s="141"/>
      <c r="I127" s="290" t="s">
        <v>232</v>
      </c>
      <c r="J127" s="291"/>
      <c r="K127" s="293">
        <f t="shared" si="2"/>
        <v>1626.8400652930211</v>
      </c>
      <c r="L127" s="297"/>
      <c r="M127" s="293">
        <f t="shared" si="3"/>
        <v>3253.6801305860422</v>
      </c>
      <c r="N127" s="297"/>
      <c r="O127" s="293">
        <f t="shared" si="4"/>
        <v>3253.6801305860422</v>
      </c>
      <c r="P127" s="297"/>
      <c r="Q127" s="293">
        <f t="shared" si="5"/>
        <v>6507.3602611720844</v>
      </c>
      <c r="S127" s="144"/>
    </row>
    <row r="128" spans="3:19" s="143" customFormat="1" ht="12.75" hidden="1" customHeight="1" x14ac:dyDescent="0.35">
      <c r="C128" s="141"/>
      <c r="D128" s="141"/>
      <c r="E128" s="141"/>
      <c r="F128" s="141"/>
      <c r="G128" s="141"/>
      <c r="H128" s="141"/>
      <c r="I128" s="290"/>
      <c r="J128" s="291"/>
      <c r="K128" s="295"/>
      <c r="L128" s="291"/>
      <c r="M128" s="295"/>
      <c r="N128" s="291"/>
      <c r="O128" s="295"/>
      <c r="P128" s="291"/>
      <c r="Q128" s="295"/>
      <c r="S128" s="144"/>
    </row>
    <row r="129" spans="3:17" s="146" customFormat="1" ht="12.75" hidden="1" customHeight="1" x14ac:dyDescent="0.35">
      <c r="C129" s="9"/>
      <c r="D129" s="9"/>
      <c r="E129" s="9"/>
      <c r="F129" s="9"/>
      <c r="G129" s="9"/>
      <c r="H129" s="9"/>
      <c r="I129" s="290" t="s">
        <v>135</v>
      </c>
      <c r="J129" s="291"/>
      <c r="K129" s="298">
        <f>$Q$129/4</f>
        <v>678.75</v>
      </c>
      <c r="L129" s="291"/>
      <c r="M129" s="298">
        <f>$Q$129/2</f>
        <v>1357.5</v>
      </c>
      <c r="N129" s="291"/>
      <c r="O129" s="298">
        <f>$Q$129/2</f>
        <v>1357.5</v>
      </c>
      <c r="P129" s="299"/>
      <c r="Q129" s="298">
        <v>2715</v>
      </c>
    </row>
    <row r="130" spans="3:17" s="146" customFormat="1" ht="12.75" hidden="1" customHeight="1" x14ac:dyDescent="0.35">
      <c r="C130" s="9"/>
      <c r="D130" s="9"/>
      <c r="E130" s="9"/>
      <c r="F130" s="9"/>
      <c r="G130" s="9"/>
      <c r="H130" s="9"/>
      <c r="I130" s="290" t="s">
        <v>141</v>
      </c>
      <c r="J130" s="291"/>
      <c r="K130" s="293">
        <f>K129*$S$108</f>
        <v>707.25750000000005</v>
      </c>
      <c r="L130" s="291"/>
      <c r="M130" s="293">
        <f>M129*$S$108</f>
        <v>1414.5150000000001</v>
      </c>
      <c r="N130" s="291"/>
      <c r="O130" s="293">
        <f>O129*$S$108</f>
        <v>1414.5150000000001</v>
      </c>
      <c r="P130" s="299"/>
      <c r="Q130" s="293">
        <f>Q129*$S$108</f>
        <v>2829.03</v>
      </c>
    </row>
    <row r="131" spans="3:17" s="146" customFormat="1" ht="12.75" hidden="1" customHeight="1" x14ac:dyDescent="0.35">
      <c r="C131" s="9"/>
      <c r="D131" s="9"/>
      <c r="E131" s="9"/>
      <c r="F131" s="9"/>
      <c r="G131" s="9"/>
      <c r="H131" s="9"/>
      <c r="I131" s="290" t="s">
        <v>142</v>
      </c>
      <c r="J131" s="291"/>
      <c r="K131" s="293">
        <f t="shared" ref="K131:K136" si="6">K130*$S$108</f>
        <v>736.9623150000001</v>
      </c>
      <c r="L131" s="291"/>
      <c r="M131" s="293">
        <f t="shared" ref="M131:M135" si="7">M130*$S$108</f>
        <v>1473.9246300000002</v>
      </c>
      <c r="N131" s="291"/>
      <c r="O131" s="293">
        <f t="shared" ref="O131:O136" si="8">O130*$S$108</f>
        <v>1473.9246300000002</v>
      </c>
      <c r="P131" s="299"/>
      <c r="Q131" s="293">
        <f t="shared" ref="Q131:Q136" si="9">Q130*$S$108</f>
        <v>2947.8492600000004</v>
      </c>
    </row>
    <row r="132" spans="3:17" s="146" customFormat="1" ht="12.75" hidden="1" customHeight="1" x14ac:dyDescent="0.35">
      <c r="C132" s="9"/>
      <c r="D132" s="9"/>
      <c r="E132" s="9"/>
      <c r="F132" s="9"/>
      <c r="G132" s="9"/>
      <c r="H132" s="9"/>
      <c r="I132" s="290" t="s">
        <v>155</v>
      </c>
      <c r="J132" s="291"/>
      <c r="K132" s="293">
        <f t="shared" si="6"/>
        <v>767.91473223000014</v>
      </c>
      <c r="L132" s="291"/>
      <c r="M132" s="293">
        <f t="shared" si="7"/>
        <v>1535.8294644600003</v>
      </c>
      <c r="N132" s="291"/>
      <c r="O132" s="293">
        <f t="shared" si="8"/>
        <v>1535.8294644600003</v>
      </c>
      <c r="P132" s="299"/>
      <c r="Q132" s="293">
        <f t="shared" si="9"/>
        <v>3071.6589289200006</v>
      </c>
    </row>
    <row r="133" spans="3:17" s="146" customFormat="1" ht="12.75" hidden="1" customHeight="1" x14ac:dyDescent="0.35">
      <c r="C133" s="9"/>
      <c r="D133" s="9"/>
      <c r="E133" s="9"/>
      <c r="F133" s="9"/>
      <c r="G133" s="9"/>
      <c r="H133" s="9"/>
      <c r="I133" s="290" t="s">
        <v>160</v>
      </c>
      <c r="J133" s="291"/>
      <c r="K133" s="293">
        <f t="shared" si="6"/>
        <v>800.16715098366012</v>
      </c>
      <c r="L133" s="291"/>
      <c r="M133" s="293">
        <f t="shared" si="7"/>
        <v>1600.3343019673202</v>
      </c>
      <c r="N133" s="291"/>
      <c r="O133" s="293">
        <f t="shared" si="8"/>
        <v>1600.3343019673202</v>
      </c>
      <c r="P133" s="299"/>
      <c r="Q133" s="293">
        <f t="shared" si="9"/>
        <v>3200.6686039346405</v>
      </c>
    </row>
    <row r="134" spans="3:17" s="146" customFormat="1" ht="12.75" hidden="1" customHeight="1" x14ac:dyDescent="0.35">
      <c r="C134" s="9"/>
      <c r="D134" s="9"/>
      <c r="E134" s="9"/>
      <c r="F134" s="9"/>
      <c r="G134" s="9"/>
      <c r="H134" s="9"/>
      <c r="I134" s="290" t="s">
        <v>216</v>
      </c>
      <c r="J134" s="291"/>
      <c r="K134" s="293">
        <f t="shared" si="6"/>
        <v>833.77417132497385</v>
      </c>
      <c r="L134" s="291"/>
      <c r="M134" s="293">
        <f t="shared" si="7"/>
        <v>1667.5483426499477</v>
      </c>
      <c r="N134" s="291"/>
      <c r="O134" s="293">
        <f t="shared" si="8"/>
        <v>1667.5483426499477</v>
      </c>
      <c r="P134" s="299"/>
      <c r="Q134" s="293">
        <f t="shared" si="9"/>
        <v>3335.0966852998954</v>
      </c>
    </row>
    <row r="135" spans="3:17" s="146" customFormat="1" ht="12.75" hidden="1" customHeight="1" x14ac:dyDescent="0.35">
      <c r="C135" s="9"/>
      <c r="D135" s="9"/>
      <c r="E135" s="9"/>
      <c r="F135" s="9"/>
      <c r="G135" s="9"/>
      <c r="H135" s="9"/>
      <c r="I135" s="290" t="s">
        <v>223</v>
      </c>
      <c r="J135" s="291"/>
      <c r="K135" s="293">
        <f t="shared" si="6"/>
        <v>868.79268652062274</v>
      </c>
      <c r="L135" s="291"/>
      <c r="M135" s="293">
        <f t="shared" si="7"/>
        <v>1737.5853730412455</v>
      </c>
      <c r="N135" s="291"/>
      <c r="O135" s="293">
        <f t="shared" si="8"/>
        <v>1737.5853730412455</v>
      </c>
      <c r="P135" s="299"/>
      <c r="Q135" s="293">
        <f t="shared" si="9"/>
        <v>3475.170746082491</v>
      </c>
    </row>
    <row r="136" spans="3:17" s="146" customFormat="1" ht="12.75" hidden="1" customHeight="1" x14ac:dyDescent="0.35">
      <c r="C136" s="9"/>
      <c r="D136" s="9"/>
      <c r="E136" s="9"/>
      <c r="F136" s="9"/>
      <c r="G136" s="9"/>
      <c r="H136" s="9"/>
      <c r="I136" s="290" t="s">
        <v>233</v>
      </c>
      <c r="J136" s="291"/>
      <c r="K136" s="293">
        <f t="shared" si="6"/>
        <v>905.28197935448895</v>
      </c>
      <c r="L136" s="291"/>
      <c r="M136" s="293">
        <f>M135*$S$108</f>
        <v>1810.5639587089779</v>
      </c>
      <c r="N136" s="291"/>
      <c r="O136" s="293">
        <f t="shared" si="8"/>
        <v>1810.5639587089779</v>
      </c>
      <c r="P136" s="299"/>
      <c r="Q136" s="293">
        <f t="shared" si="9"/>
        <v>3621.1279174179558</v>
      </c>
    </row>
    <row r="137" spans="3:17" s="146" customFormat="1" ht="12.75" hidden="1" customHeight="1" x14ac:dyDescent="0.35">
      <c r="C137" s="9"/>
      <c r="D137" s="9"/>
      <c r="E137" s="9"/>
      <c r="F137" s="9"/>
      <c r="G137" s="9"/>
      <c r="H137" s="9"/>
      <c r="I137" s="291"/>
      <c r="J137" s="291"/>
      <c r="K137" s="295"/>
      <c r="L137" s="291"/>
      <c r="M137" s="295"/>
      <c r="N137" s="291"/>
      <c r="O137" s="295"/>
      <c r="P137" s="291"/>
      <c r="Q137" s="295"/>
    </row>
    <row r="138" spans="3:17" s="146" customFormat="1" ht="12.75" hidden="1" customHeight="1" x14ac:dyDescent="0.35">
      <c r="C138" s="9"/>
      <c r="D138" s="9"/>
      <c r="E138" s="9"/>
      <c r="F138" s="9"/>
      <c r="G138" s="9"/>
      <c r="H138" s="9"/>
      <c r="I138" s="300" t="s">
        <v>224</v>
      </c>
      <c r="J138" s="300"/>
      <c r="K138" s="300"/>
      <c r="L138" s="300"/>
      <c r="M138" s="300"/>
      <c r="N138" s="300"/>
      <c r="O138" s="300"/>
      <c r="P138" s="300"/>
      <c r="Q138" s="300"/>
    </row>
    <row r="139" spans="3:17" s="146" customFormat="1" ht="12.75" hidden="1" customHeight="1" x14ac:dyDescent="0.35">
      <c r="C139" s="9"/>
      <c r="D139" s="9"/>
      <c r="E139" s="9"/>
      <c r="F139" s="9"/>
      <c r="G139" s="9"/>
      <c r="H139" s="9"/>
      <c r="I139" s="294"/>
      <c r="J139" s="291"/>
      <c r="K139" s="295" t="s">
        <v>56</v>
      </c>
      <c r="L139" s="291"/>
      <c r="M139" s="295" t="s">
        <v>57</v>
      </c>
      <c r="N139" s="291"/>
      <c r="O139" s="295" t="s">
        <v>58</v>
      </c>
      <c r="P139" s="291"/>
      <c r="Q139" s="295" t="s">
        <v>59</v>
      </c>
    </row>
    <row r="140" spans="3:17" s="146" customFormat="1" ht="12.75" hidden="1" customHeight="1" x14ac:dyDescent="0.35">
      <c r="C140" s="9"/>
      <c r="D140" s="9"/>
      <c r="E140" s="9"/>
      <c r="F140" s="9"/>
      <c r="G140" s="9"/>
      <c r="H140" s="9"/>
      <c r="I140" s="290"/>
      <c r="J140" s="291"/>
      <c r="K140" s="294"/>
      <c r="L140" s="294"/>
      <c r="M140" s="295"/>
      <c r="N140" s="291"/>
      <c r="O140" s="295"/>
      <c r="P140" s="291"/>
      <c r="Q140" s="295"/>
    </row>
    <row r="141" spans="3:17" s="146" customFormat="1" ht="12.75" hidden="1" customHeight="1" x14ac:dyDescent="0.35">
      <c r="C141" s="9"/>
      <c r="D141" s="9"/>
      <c r="E141" s="9"/>
      <c r="F141" s="9"/>
      <c r="G141" s="9"/>
      <c r="H141" s="9"/>
      <c r="I141" s="290" t="s">
        <v>134</v>
      </c>
      <c r="J141" s="294"/>
      <c r="K141" s="292">
        <f>$Q$141/4</f>
        <v>1561.75</v>
      </c>
      <c r="L141" s="291"/>
      <c r="M141" s="292">
        <f>$O$141</f>
        <v>3123.5</v>
      </c>
      <c r="N141" s="291"/>
      <c r="O141" s="292">
        <f>$Q$141/2</f>
        <v>3123.5</v>
      </c>
      <c r="P141" s="291"/>
      <c r="Q141" s="292">
        <v>6247</v>
      </c>
    </row>
    <row r="142" spans="3:17" s="146" customFormat="1" ht="12.75" hidden="1" customHeight="1" x14ac:dyDescent="0.35">
      <c r="C142" s="9"/>
      <c r="D142" s="9"/>
      <c r="E142" s="9"/>
      <c r="F142" s="9"/>
      <c r="G142" s="9"/>
      <c r="H142" s="9"/>
      <c r="I142" s="290" t="s">
        <v>137</v>
      </c>
      <c r="J142" s="294"/>
      <c r="K142" s="293">
        <f>K141*$S$108</f>
        <v>1627.3434999999999</v>
      </c>
      <c r="L142" s="291"/>
      <c r="M142" s="293">
        <f>M141*$S$108</f>
        <v>3254.6869999999999</v>
      </c>
      <c r="N142" s="291"/>
      <c r="O142" s="293">
        <f>O141*$S$108</f>
        <v>3254.6869999999999</v>
      </c>
      <c r="P142" s="291"/>
      <c r="Q142" s="293">
        <f t="shared" ref="Q142:Q148" si="10">Q141*$S$108</f>
        <v>6509.3739999999998</v>
      </c>
    </row>
    <row r="143" spans="3:17" s="146" customFormat="1" ht="15.5" hidden="1" x14ac:dyDescent="0.35">
      <c r="I143" s="290" t="s">
        <v>138</v>
      </c>
      <c r="J143" s="294"/>
      <c r="K143" s="293">
        <f t="shared" ref="K143:K148" si="11">K142*$S$108</f>
        <v>1695.6919270000001</v>
      </c>
      <c r="L143" s="291"/>
      <c r="M143" s="293">
        <f t="shared" ref="M143:M148" si="12">M142*$S$108</f>
        <v>3391.3838540000002</v>
      </c>
      <c r="N143" s="291"/>
      <c r="O143" s="293">
        <f t="shared" ref="O143:O148" si="13">O142*$S$108</f>
        <v>3391.3838540000002</v>
      </c>
      <c r="P143" s="291"/>
      <c r="Q143" s="293">
        <f t="shared" si="10"/>
        <v>6782.7677080000003</v>
      </c>
    </row>
    <row r="144" spans="3:17" s="146" customFormat="1" ht="15.5" hidden="1" x14ac:dyDescent="0.35">
      <c r="I144" s="290" t="s">
        <v>154</v>
      </c>
      <c r="J144" s="294"/>
      <c r="K144" s="293">
        <f t="shared" si="11"/>
        <v>1766.9109879340001</v>
      </c>
      <c r="L144" s="291"/>
      <c r="M144" s="293">
        <f t="shared" si="12"/>
        <v>3533.8219758680002</v>
      </c>
      <c r="N144" s="291"/>
      <c r="O144" s="293">
        <f t="shared" si="13"/>
        <v>3533.8219758680002</v>
      </c>
      <c r="P144" s="291"/>
      <c r="Q144" s="293">
        <f t="shared" si="10"/>
        <v>7067.6439517360004</v>
      </c>
    </row>
    <row r="145" spans="9:17" s="146" customFormat="1" ht="15.5" hidden="1" x14ac:dyDescent="0.35">
      <c r="I145" s="290" t="s">
        <v>158</v>
      </c>
      <c r="J145" s="294"/>
      <c r="K145" s="293">
        <f t="shared" si="11"/>
        <v>1841.1212494272281</v>
      </c>
      <c r="L145" s="291"/>
      <c r="M145" s="293">
        <f t="shared" si="12"/>
        <v>3682.2424988544562</v>
      </c>
      <c r="N145" s="291"/>
      <c r="O145" s="293">
        <f t="shared" si="13"/>
        <v>3682.2424988544562</v>
      </c>
      <c r="P145" s="291"/>
      <c r="Q145" s="293">
        <f t="shared" si="10"/>
        <v>7364.4849977089125</v>
      </c>
    </row>
    <row r="146" spans="9:17" s="146" customFormat="1" ht="15.5" hidden="1" x14ac:dyDescent="0.35">
      <c r="I146" s="290" t="s">
        <v>215</v>
      </c>
      <c r="J146" s="294"/>
      <c r="K146" s="293">
        <f t="shared" si="11"/>
        <v>1918.4483419031717</v>
      </c>
      <c r="L146" s="291"/>
      <c r="M146" s="293">
        <f t="shared" si="12"/>
        <v>3836.8966838063434</v>
      </c>
      <c r="N146" s="291"/>
      <c r="O146" s="293">
        <f t="shared" si="13"/>
        <v>3836.8966838063434</v>
      </c>
      <c r="P146" s="291"/>
      <c r="Q146" s="293">
        <f t="shared" si="10"/>
        <v>7673.7933676126868</v>
      </c>
    </row>
    <row r="147" spans="9:17" s="146" customFormat="1" ht="15.5" hidden="1" x14ac:dyDescent="0.35">
      <c r="I147" s="290" t="s">
        <v>220</v>
      </c>
      <c r="J147" s="294"/>
      <c r="K147" s="293">
        <f>K146*$S$108</f>
        <v>1999.0231722631049</v>
      </c>
      <c r="L147" s="291"/>
      <c r="M147" s="293">
        <f t="shared" si="12"/>
        <v>3998.0463445262099</v>
      </c>
      <c r="N147" s="291"/>
      <c r="O147" s="293">
        <f t="shared" si="13"/>
        <v>3998.0463445262099</v>
      </c>
      <c r="P147" s="291"/>
      <c r="Q147" s="293">
        <f t="shared" si="10"/>
        <v>7996.0926890524197</v>
      </c>
    </row>
    <row r="148" spans="9:17" s="146" customFormat="1" ht="15.5" hidden="1" x14ac:dyDescent="0.35">
      <c r="I148" s="290" t="s">
        <v>231</v>
      </c>
      <c r="J148" s="294"/>
      <c r="K148" s="293">
        <f t="shared" si="11"/>
        <v>2082.9821454981552</v>
      </c>
      <c r="L148" s="291"/>
      <c r="M148" s="293">
        <f t="shared" si="12"/>
        <v>4165.9642909963104</v>
      </c>
      <c r="N148" s="291"/>
      <c r="O148" s="293">
        <f t="shared" si="13"/>
        <v>4165.9642909963104</v>
      </c>
      <c r="P148" s="291"/>
      <c r="Q148" s="293">
        <f t="shared" si="10"/>
        <v>8331.9285819926208</v>
      </c>
    </row>
    <row r="149" spans="9:17" s="146" customFormat="1" ht="15.5" hidden="1" x14ac:dyDescent="0.35">
      <c r="I149" s="290"/>
      <c r="J149" s="294"/>
      <c r="K149" s="293">
        <v>0</v>
      </c>
      <c r="L149" s="294"/>
      <c r="M149" s="295"/>
      <c r="N149" s="291"/>
      <c r="O149" s="293">
        <v>0</v>
      </c>
      <c r="P149" s="291"/>
      <c r="Q149" s="295"/>
    </row>
    <row r="150" spans="9:17" s="146" customFormat="1" ht="15.5" hidden="1" x14ac:dyDescent="0.35">
      <c r="I150" s="290" t="s">
        <v>139</v>
      </c>
      <c r="J150" s="294"/>
      <c r="K150" s="296">
        <f>$Q$150/4</f>
        <v>1561.75</v>
      </c>
      <c r="L150" s="297"/>
      <c r="M150" s="296">
        <f>$O$150</f>
        <v>3123.5</v>
      </c>
      <c r="N150" s="297"/>
      <c r="O150" s="296">
        <f>$Q$150/2</f>
        <v>3123.5</v>
      </c>
      <c r="P150" s="297"/>
      <c r="Q150" s="296">
        <v>6247</v>
      </c>
    </row>
    <row r="151" spans="9:17" s="146" customFormat="1" ht="15.5" hidden="1" x14ac:dyDescent="0.35">
      <c r="I151" s="290" t="s">
        <v>140</v>
      </c>
      <c r="J151" s="294"/>
      <c r="K151" s="293">
        <f>$M$151/2</f>
        <v>1627.3434999999999</v>
      </c>
      <c r="L151" s="297"/>
      <c r="M151" s="293">
        <f>O151</f>
        <v>3254.6869999999999</v>
      </c>
      <c r="N151" s="297"/>
      <c r="O151" s="293">
        <f>Q151/2</f>
        <v>3254.6869999999999</v>
      </c>
      <c r="P151" s="297"/>
      <c r="Q151" s="293">
        <f>$Q$150*$S$108</f>
        <v>6509.3739999999998</v>
      </c>
    </row>
    <row r="152" spans="9:17" s="146" customFormat="1" ht="15.5" hidden="1" x14ac:dyDescent="0.35">
      <c r="I152" s="290" t="s">
        <v>151</v>
      </c>
      <c r="J152" s="294"/>
      <c r="K152" s="293">
        <f t="shared" ref="K152:K157" si="14">K151*$S$108</f>
        <v>1695.6919270000001</v>
      </c>
      <c r="L152" s="297"/>
      <c r="M152" s="293">
        <f t="shared" ref="M152:M157" si="15">M151*$S$108</f>
        <v>3391.3838540000002</v>
      </c>
      <c r="N152" s="297"/>
      <c r="O152" s="293">
        <f>O151*$S$108</f>
        <v>3391.3838540000002</v>
      </c>
      <c r="P152" s="297"/>
      <c r="Q152" s="293">
        <f>$Q$151*$S$108</f>
        <v>6782.7677080000003</v>
      </c>
    </row>
    <row r="153" spans="9:17" s="146" customFormat="1" ht="15.5" hidden="1" x14ac:dyDescent="0.35">
      <c r="I153" s="290" t="s">
        <v>156</v>
      </c>
      <c r="J153" s="294"/>
      <c r="K153" s="293">
        <f t="shared" si="14"/>
        <v>1766.9109879340001</v>
      </c>
      <c r="L153" s="297"/>
      <c r="M153" s="293">
        <f t="shared" si="15"/>
        <v>3533.8219758680002</v>
      </c>
      <c r="N153" s="297"/>
      <c r="O153" s="293">
        <f>O152*$S$108</f>
        <v>3533.8219758680002</v>
      </c>
      <c r="P153" s="297"/>
      <c r="Q153" s="293">
        <f>$Q$152*$S$108</f>
        <v>7067.6439517360004</v>
      </c>
    </row>
    <row r="154" spans="9:17" s="146" customFormat="1" ht="15.5" hidden="1" x14ac:dyDescent="0.35">
      <c r="I154" s="290" t="s">
        <v>159</v>
      </c>
      <c r="J154" s="294"/>
      <c r="K154" s="293">
        <f t="shared" si="14"/>
        <v>1841.1212494272281</v>
      </c>
      <c r="L154" s="297"/>
      <c r="M154" s="293">
        <f t="shared" si="15"/>
        <v>3682.2424988544562</v>
      </c>
      <c r="N154" s="297"/>
      <c r="O154" s="293">
        <f>O153*$S$108</f>
        <v>3682.2424988544562</v>
      </c>
      <c r="P154" s="297"/>
      <c r="Q154" s="293">
        <f>$Q$153*$S$108</f>
        <v>7364.4849977089125</v>
      </c>
    </row>
    <row r="155" spans="9:17" s="146" customFormat="1" ht="15.5" hidden="1" x14ac:dyDescent="0.35">
      <c r="I155" s="290" t="s">
        <v>221</v>
      </c>
      <c r="J155" s="294"/>
      <c r="K155" s="293">
        <f t="shared" si="14"/>
        <v>1918.4483419031717</v>
      </c>
      <c r="L155" s="297"/>
      <c r="M155" s="293">
        <f t="shared" si="15"/>
        <v>3836.8966838063434</v>
      </c>
      <c r="N155" s="297"/>
      <c r="O155" s="293">
        <f>O154*$S$108</f>
        <v>3836.8966838063434</v>
      </c>
      <c r="P155" s="297"/>
      <c r="Q155" s="293">
        <f>$Q$154*$S$108</f>
        <v>7673.7933676126868</v>
      </c>
    </row>
    <row r="156" spans="9:17" s="146" customFormat="1" ht="15.5" hidden="1" x14ac:dyDescent="0.35">
      <c r="I156" s="290" t="s">
        <v>222</v>
      </c>
      <c r="J156" s="294"/>
      <c r="K156" s="293">
        <f t="shared" si="14"/>
        <v>1999.0231722631049</v>
      </c>
      <c r="L156" s="297"/>
      <c r="M156" s="293">
        <f t="shared" si="15"/>
        <v>3998.0463445262099</v>
      </c>
      <c r="N156" s="297"/>
      <c r="O156" s="293">
        <f>O155*$S$108</f>
        <v>3998.0463445262099</v>
      </c>
      <c r="P156" s="297"/>
      <c r="Q156" s="293">
        <f>$Q$155*$S$108</f>
        <v>7996.0926890524197</v>
      </c>
    </row>
    <row r="157" spans="9:17" s="146" customFormat="1" ht="15.5" hidden="1" x14ac:dyDescent="0.35">
      <c r="I157" s="290" t="s">
        <v>232</v>
      </c>
      <c r="J157" s="294"/>
      <c r="K157" s="293">
        <f t="shared" si="14"/>
        <v>2082.9821454981552</v>
      </c>
      <c r="L157" s="297"/>
      <c r="M157" s="293">
        <f t="shared" si="15"/>
        <v>4165.9642909963104</v>
      </c>
      <c r="N157" s="297"/>
      <c r="O157" s="293">
        <f>$O$156*$S$108</f>
        <v>4165.9642909963104</v>
      </c>
      <c r="P157" s="297"/>
      <c r="Q157" s="293">
        <f>$Q$156*$S$108</f>
        <v>8331.9285819926208</v>
      </c>
    </row>
    <row r="158" spans="9:17" s="146" customFormat="1" ht="15.5" hidden="1" x14ac:dyDescent="0.35">
      <c r="I158" s="290"/>
      <c r="J158" s="294"/>
      <c r="K158" s="293">
        <v>0</v>
      </c>
      <c r="L158" s="294"/>
      <c r="M158" s="295"/>
      <c r="N158" s="291"/>
      <c r="O158" s="293">
        <v>0</v>
      </c>
      <c r="P158" s="291"/>
      <c r="Q158" s="295"/>
    </row>
    <row r="159" spans="9:17" s="146" customFormat="1" ht="15.5" hidden="1" x14ac:dyDescent="0.35">
      <c r="I159" s="290" t="s">
        <v>135</v>
      </c>
      <c r="J159" s="294"/>
      <c r="K159" s="298">
        <f>$Q$159/4</f>
        <v>868.75</v>
      </c>
      <c r="L159" s="291"/>
      <c r="M159" s="298">
        <f>$Q$159/2</f>
        <v>1737.5</v>
      </c>
      <c r="N159" s="291"/>
      <c r="O159" s="298">
        <f>$Q$159/2</f>
        <v>1737.5</v>
      </c>
      <c r="P159" s="299"/>
      <c r="Q159" s="298">
        <v>3475</v>
      </c>
    </row>
    <row r="160" spans="9:17" s="146" customFormat="1" ht="15.5" hidden="1" x14ac:dyDescent="0.35">
      <c r="I160" s="290" t="s">
        <v>141</v>
      </c>
      <c r="J160" s="294"/>
      <c r="K160" s="293">
        <f>K159*$S$108</f>
        <v>905.23750000000007</v>
      </c>
      <c r="L160" s="291"/>
      <c r="M160" s="293">
        <f>M159*$S$108</f>
        <v>1810.4750000000001</v>
      </c>
      <c r="N160" s="291"/>
      <c r="O160" s="293">
        <f>O159*$S$108</f>
        <v>1810.4750000000001</v>
      </c>
      <c r="P160" s="299"/>
      <c r="Q160" s="293">
        <f>Q159*$S$108</f>
        <v>3620.9500000000003</v>
      </c>
    </row>
    <row r="161" spans="3:17" s="146" customFormat="1" ht="12.75" hidden="1" customHeight="1" x14ac:dyDescent="0.35">
      <c r="I161" s="290" t="s">
        <v>142</v>
      </c>
      <c r="J161" s="294"/>
      <c r="K161" s="293">
        <f t="shared" ref="K161:K166" si="16">K160*$S$108</f>
        <v>943.25747500000011</v>
      </c>
      <c r="L161" s="291"/>
      <c r="M161" s="293">
        <f t="shared" ref="M161:M166" si="17">M160*$S$108</f>
        <v>1886.5149500000002</v>
      </c>
      <c r="N161" s="291"/>
      <c r="O161" s="293">
        <f t="shared" ref="O161:O166" si="18">O160*$S$108</f>
        <v>1886.5149500000002</v>
      </c>
      <c r="P161" s="299"/>
      <c r="Q161" s="293">
        <f t="shared" ref="Q161:Q166" si="19">Q160*$S$108</f>
        <v>3773.0299000000005</v>
      </c>
    </row>
    <row r="162" spans="3:17" s="146" customFormat="1" ht="12.75" hidden="1" customHeight="1" x14ac:dyDescent="0.35">
      <c r="I162" s="290" t="s">
        <v>155</v>
      </c>
      <c r="J162" s="294"/>
      <c r="K162" s="293">
        <f t="shared" si="16"/>
        <v>982.87428895000016</v>
      </c>
      <c r="L162" s="291"/>
      <c r="M162" s="293">
        <f t="shared" si="17"/>
        <v>1965.7485779000003</v>
      </c>
      <c r="N162" s="291"/>
      <c r="O162" s="293">
        <f t="shared" si="18"/>
        <v>1965.7485779000003</v>
      </c>
      <c r="P162" s="299"/>
      <c r="Q162" s="293">
        <f t="shared" si="19"/>
        <v>3931.4971558000007</v>
      </c>
    </row>
    <row r="163" spans="3:17" s="146" customFormat="1" ht="12.75" hidden="1" customHeight="1" x14ac:dyDescent="0.35">
      <c r="I163" s="290" t="s">
        <v>160</v>
      </c>
      <c r="J163" s="294"/>
      <c r="K163" s="293">
        <f t="shared" si="16"/>
        <v>1024.1550090859002</v>
      </c>
      <c r="L163" s="291"/>
      <c r="M163" s="293">
        <f t="shared" si="17"/>
        <v>2048.3100181718005</v>
      </c>
      <c r="N163" s="291"/>
      <c r="O163" s="293">
        <f t="shared" si="18"/>
        <v>2048.3100181718005</v>
      </c>
      <c r="P163" s="299"/>
      <c r="Q163" s="293">
        <f t="shared" si="19"/>
        <v>4096.620036343601</v>
      </c>
    </row>
    <row r="164" spans="3:17" s="146" customFormat="1" ht="12.75" hidden="1" customHeight="1" x14ac:dyDescent="0.35">
      <c r="I164" s="290" t="s">
        <v>216</v>
      </c>
      <c r="J164" s="294"/>
      <c r="K164" s="293">
        <f t="shared" si="16"/>
        <v>1067.1695194675081</v>
      </c>
      <c r="L164" s="291"/>
      <c r="M164" s="293">
        <f t="shared" si="17"/>
        <v>2134.3390389350161</v>
      </c>
      <c r="N164" s="291"/>
      <c r="O164" s="293">
        <f t="shared" si="18"/>
        <v>2134.3390389350161</v>
      </c>
      <c r="P164" s="299"/>
      <c r="Q164" s="293">
        <f t="shared" si="19"/>
        <v>4268.6780778700322</v>
      </c>
    </row>
    <row r="165" spans="3:17" s="146" customFormat="1" ht="12.75" hidden="1" customHeight="1" x14ac:dyDescent="0.35">
      <c r="I165" s="290" t="s">
        <v>223</v>
      </c>
      <c r="J165" s="294"/>
      <c r="K165" s="293">
        <f t="shared" si="16"/>
        <v>1111.9906392851435</v>
      </c>
      <c r="L165" s="291"/>
      <c r="M165" s="293">
        <f t="shared" si="17"/>
        <v>2223.981278570287</v>
      </c>
      <c r="N165" s="291"/>
      <c r="O165" s="293">
        <f t="shared" si="18"/>
        <v>2223.981278570287</v>
      </c>
      <c r="P165" s="299"/>
      <c r="Q165" s="293">
        <f t="shared" si="19"/>
        <v>4447.9625571405741</v>
      </c>
    </row>
    <row r="166" spans="3:17" s="146" customFormat="1" ht="12.75" hidden="1" customHeight="1" x14ac:dyDescent="0.35">
      <c r="I166" s="290" t="s">
        <v>233</v>
      </c>
      <c r="J166" s="294"/>
      <c r="K166" s="293">
        <f t="shared" si="16"/>
        <v>1158.6942461351196</v>
      </c>
      <c r="L166" s="291"/>
      <c r="M166" s="293">
        <f t="shared" si="17"/>
        <v>2317.3884922702391</v>
      </c>
      <c r="N166" s="291"/>
      <c r="O166" s="293">
        <f t="shared" si="18"/>
        <v>2317.3884922702391</v>
      </c>
      <c r="P166" s="299"/>
      <c r="Q166" s="293">
        <f t="shared" si="19"/>
        <v>4634.7769845404782</v>
      </c>
    </row>
    <row r="167" spans="3:17" s="146" customFormat="1" ht="12.75" hidden="1" customHeight="1" x14ac:dyDescent="0.25">
      <c r="C167" s="9"/>
      <c r="D167" s="9"/>
      <c r="E167" s="9"/>
      <c r="F167" s="9"/>
      <c r="G167" s="9"/>
      <c r="H167" s="9"/>
    </row>
    <row r="168" spans="3:17" s="146" customFormat="1" ht="15.5" hidden="1" x14ac:dyDescent="0.35">
      <c r="I168" s="300" t="s">
        <v>225</v>
      </c>
      <c r="J168" s="300"/>
      <c r="K168" s="300"/>
      <c r="L168" s="300"/>
      <c r="M168" s="300"/>
      <c r="N168" s="300"/>
      <c r="O168" s="300"/>
      <c r="P168" s="300"/>
      <c r="Q168" s="300"/>
    </row>
    <row r="169" spans="3:17" s="146" customFormat="1" ht="15.5" hidden="1" x14ac:dyDescent="0.35">
      <c r="I169" s="294"/>
      <c r="J169" s="291"/>
      <c r="K169" s="295" t="s">
        <v>56</v>
      </c>
      <c r="L169" s="291"/>
      <c r="M169" s="295" t="s">
        <v>57</v>
      </c>
      <c r="N169" s="291"/>
      <c r="O169" s="295" t="s">
        <v>58</v>
      </c>
      <c r="P169" s="291"/>
      <c r="Q169" s="295" t="s">
        <v>59</v>
      </c>
    </row>
    <row r="170" spans="3:17" s="146" customFormat="1" ht="15.5" hidden="1" x14ac:dyDescent="0.35">
      <c r="I170" s="290"/>
      <c r="J170" s="291"/>
      <c r="K170" s="294"/>
      <c r="L170" s="294"/>
      <c r="M170" s="295"/>
      <c r="N170" s="291"/>
      <c r="O170" s="295"/>
      <c r="P170" s="291"/>
      <c r="Q170" s="295"/>
    </row>
    <row r="171" spans="3:17" s="146" customFormat="1" ht="15.5" hidden="1" x14ac:dyDescent="0.35">
      <c r="I171" s="290" t="s">
        <v>134</v>
      </c>
      <c r="J171" s="294"/>
      <c r="K171" s="292">
        <f>Q171/4</f>
        <v>1561.75</v>
      </c>
      <c r="L171" s="291"/>
      <c r="M171" s="292">
        <f>Q171/2</f>
        <v>3123.5</v>
      </c>
      <c r="N171" s="291"/>
      <c r="O171" s="292">
        <f>Q171/2</f>
        <v>3123.5</v>
      </c>
      <c r="P171" s="291"/>
      <c r="Q171" s="292">
        <v>6247</v>
      </c>
    </row>
    <row r="172" spans="3:17" s="146" customFormat="1" ht="15.5" hidden="1" x14ac:dyDescent="0.35">
      <c r="I172" s="290" t="s">
        <v>137</v>
      </c>
      <c r="J172" s="294"/>
      <c r="K172" s="293">
        <f>K171*$S$108</f>
        <v>1627.3434999999999</v>
      </c>
      <c r="L172" s="291"/>
      <c r="M172" s="293">
        <f>M171*$S$108</f>
        <v>3254.6869999999999</v>
      </c>
      <c r="N172" s="291"/>
      <c r="O172" s="293">
        <f>O171*$S$108</f>
        <v>3254.6869999999999</v>
      </c>
      <c r="P172" s="291"/>
      <c r="Q172" s="293">
        <f>Q171*$S$108</f>
        <v>6509.3739999999998</v>
      </c>
    </row>
    <row r="173" spans="3:17" s="146" customFormat="1" ht="15.5" hidden="1" x14ac:dyDescent="0.35">
      <c r="I173" s="290" t="s">
        <v>138</v>
      </c>
      <c r="J173" s="294"/>
      <c r="K173" s="293">
        <f t="shared" ref="K173:K178" si="20">K172*$S$108</f>
        <v>1695.6919270000001</v>
      </c>
      <c r="L173" s="291"/>
      <c r="M173" s="293">
        <f t="shared" ref="M173:M178" si="21">M172*$S$108</f>
        <v>3391.3838540000002</v>
      </c>
      <c r="N173" s="291"/>
      <c r="O173" s="293">
        <f t="shared" ref="O173:O178" si="22">O172*$S$108</f>
        <v>3391.3838540000002</v>
      </c>
      <c r="P173" s="291"/>
      <c r="Q173" s="293">
        <f t="shared" ref="Q173:Q178" si="23">Q172*$S$108</f>
        <v>6782.7677080000003</v>
      </c>
    </row>
    <row r="174" spans="3:17" s="146" customFormat="1" ht="15.5" hidden="1" x14ac:dyDescent="0.35">
      <c r="I174" s="290" t="s">
        <v>154</v>
      </c>
      <c r="J174" s="294"/>
      <c r="K174" s="293">
        <f t="shared" si="20"/>
        <v>1766.9109879340001</v>
      </c>
      <c r="L174" s="291"/>
      <c r="M174" s="293">
        <f t="shared" si="21"/>
        <v>3533.8219758680002</v>
      </c>
      <c r="N174" s="291"/>
      <c r="O174" s="293">
        <f t="shared" si="22"/>
        <v>3533.8219758680002</v>
      </c>
      <c r="P174" s="291"/>
      <c r="Q174" s="293">
        <f t="shared" si="23"/>
        <v>7067.6439517360004</v>
      </c>
    </row>
    <row r="175" spans="3:17" s="146" customFormat="1" ht="15.5" hidden="1" x14ac:dyDescent="0.35">
      <c r="I175" s="290" t="s">
        <v>158</v>
      </c>
      <c r="J175" s="294"/>
      <c r="K175" s="293">
        <f t="shared" si="20"/>
        <v>1841.1212494272281</v>
      </c>
      <c r="L175" s="291"/>
      <c r="M175" s="293">
        <f t="shared" si="21"/>
        <v>3682.2424988544562</v>
      </c>
      <c r="N175" s="291"/>
      <c r="O175" s="293">
        <f t="shared" si="22"/>
        <v>3682.2424988544562</v>
      </c>
      <c r="P175" s="291"/>
      <c r="Q175" s="293">
        <f t="shared" si="23"/>
        <v>7364.4849977089125</v>
      </c>
    </row>
    <row r="176" spans="3:17" s="146" customFormat="1" ht="15.5" hidden="1" x14ac:dyDescent="0.35">
      <c r="I176" s="290" t="s">
        <v>215</v>
      </c>
      <c r="J176" s="294"/>
      <c r="K176" s="293">
        <f t="shared" si="20"/>
        <v>1918.4483419031717</v>
      </c>
      <c r="L176" s="291"/>
      <c r="M176" s="293">
        <f t="shared" si="21"/>
        <v>3836.8966838063434</v>
      </c>
      <c r="N176" s="291"/>
      <c r="O176" s="293">
        <f t="shared" si="22"/>
        <v>3836.8966838063434</v>
      </c>
      <c r="P176" s="291"/>
      <c r="Q176" s="293">
        <f t="shared" si="23"/>
        <v>7673.7933676126868</v>
      </c>
    </row>
    <row r="177" spans="9:17" s="146" customFormat="1" ht="15.5" hidden="1" x14ac:dyDescent="0.35">
      <c r="I177" s="290" t="s">
        <v>220</v>
      </c>
      <c r="J177" s="294"/>
      <c r="K177" s="293">
        <f t="shared" si="20"/>
        <v>1999.0231722631049</v>
      </c>
      <c r="L177" s="291"/>
      <c r="M177" s="293">
        <f t="shared" si="21"/>
        <v>3998.0463445262099</v>
      </c>
      <c r="N177" s="291"/>
      <c r="O177" s="293">
        <f t="shared" si="22"/>
        <v>3998.0463445262099</v>
      </c>
      <c r="P177" s="291"/>
      <c r="Q177" s="293">
        <f t="shared" si="23"/>
        <v>7996.0926890524197</v>
      </c>
    </row>
    <row r="178" spans="9:17" s="146" customFormat="1" ht="15.5" hidden="1" x14ac:dyDescent="0.35">
      <c r="I178" s="290" t="s">
        <v>231</v>
      </c>
      <c r="J178" s="294"/>
      <c r="K178" s="293">
        <f t="shared" si="20"/>
        <v>2082.9821454981552</v>
      </c>
      <c r="L178" s="291"/>
      <c r="M178" s="293">
        <f t="shared" si="21"/>
        <v>4165.9642909963104</v>
      </c>
      <c r="N178" s="291"/>
      <c r="O178" s="293">
        <f t="shared" si="22"/>
        <v>4165.9642909963104</v>
      </c>
      <c r="P178" s="291"/>
      <c r="Q178" s="293">
        <f t="shared" si="23"/>
        <v>8331.9285819926208</v>
      </c>
    </row>
    <row r="179" spans="9:17" s="146" customFormat="1" ht="15.5" hidden="1" x14ac:dyDescent="0.35">
      <c r="I179" s="290"/>
      <c r="J179" s="294"/>
      <c r="K179" s="293">
        <v>0</v>
      </c>
      <c r="L179" s="294"/>
      <c r="M179" s="295"/>
      <c r="N179" s="291"/>
      <c r="O179" s="293">
        <v>0</v>
      </c>
      <c r="P179" s="291"/>
      <c r="Q179" s="295"/>
    </row>
    <row r="180" spans="9:17" s="146" customFormat="1" ht="15.5" hidden="1" x14ac:dyDescent="0.35">
      <c r="I180" s="290" t="s">
        <v>139</v>
      </c>
      <c r="J180" s="294"/>
      <c r="K180" s="296">
        <f>Q180/4</f>
        <v>1561.75</v>
      </c>
      <c r="L180" s="297"/>
      <c r="M180" s="296">
        <f>Q180/2</f>
        <v>3123.5</v>
      </c>
      <c r="N180" s="297"/>
      <c r="O180" s="296">
        <f>Q180/2</f>
        <v>3123.5</v>
      </c>
      <c r="P180" s="297"/>
      <c r="Q180" s="296">
        <v>6247</v>
      </c>
    </row>
    <row r="181" spans="9:17" s="146" customFormat="1" ht="15.5" hidden="1" x14ac:dyDescent="0.35">
      <c r="I181" s="290" t="s">
        <v>140</v>
      </c>
      <c r="J181" s="294"/>
      <c r="K181" s="293">
        <f>M181/2</f>
        <v>1627.3434999999999</v>
      </c>
      <c r="L181" s="297"/>
      <c r="M181" s="293">
        <f>O181</f>
        <v>3254.6869999999999</v>
      </c>
      <c r="N181" s="297"/>
      <c r="O181" s="293">
        <f>Q181/2</f>
        <v>3254.6869999999999</v>
      </c>
      <c r="P181" s="297"/>
      <c r="Q181" s="293">
        <f>Q180*$S$108</f>
        <v>6509.3739999999998</v>
      </c>
    </row>
    <row r="182" spans="9:17" s="146" customFormat="1" ht="15.5" hidden="1" x14ac:dyDescent="0.35">
      <c r="I182" s="290" t="s">
        <v>151</v>
      </c>
      <c r="J182" s="294"/>
      <c r="K182" s="293">
        <f t="shared" ref="K182:K187" si="24">K181*$S$108</f>
        <v>1695.6919270000001</v>
      </c>
      <c r="L182" s="297"/>
      <c r="M182" s="293">
        <f t="shared" ref="M182:M187" si="25">M181*$S$108</f>
        <v>3391.3838540000002</v>
      </c>
      <c r="N182" s="297"/>
      <c r="O182" s="293">
        <f t="shared" ref="O182:O187" si="26">O181*$S$108</f>
        <v>3391.3838540000002</v>
      </c>
      <c r="P182" s="297"/>
      <c r="Q182" s="293">
        <f>Q181*$S$108</f>
        <v>6782.7677080000003</v>
      </c>
    </row>
    <row r="183" spans="9:17" s="146" customFormat="1" ht="15.5" hidden="1" x14ac:dyDescent="0.35">
      <c r="I183" s="290" t="s">
        <v>156</v>
      </c>
      <c r="J183" s="294"/>
      <c r="K183" s="293">
        <f t="shared" si="24"/>
        <v>1766.9109879340001</v>
      </c>
      <c r="L183" s="297"/>
      <c r="M183" s="293">
        <f t="shared" si="25"/>
        <v>3533.8219758680002</v>
      </c>
      <c r="N183" s="297"/>
      <c r="O183" s="293">
        <f t="shared" si="26"/>
        <v>3533.8219758680002</v>
      </c>
      <c r="P183" s="297"/>
      <c r="Q183" s="293">
        <f t="shared" ref="Q183:Q187" si="27">Q182*$S$108</f>
        <v>7067.6439517360004</v>
      </c>
    </row>
    <row r="184" spans="9:17" s="146" customFormat="1" ht="15.5" hidden="1" x14ac:dyDescent="0.35">
      <c r="I184" s="290" t="s">
        <v>159</v>
      </c>
      <c r="J184" s="294"/>
      <c r="K184" s="293">
        <f t="shared" si="24"/>
        <v>1841.1212494272281</v>
      </c>
      <c r="L184" s="297"/>
      <c r="M184" s="293">
        <f t="shared" si="25"/>
        <v>3682.2424988544562</v>
      </c>
      <c r="N184" s="297"/>
      <c r="O184" s="293">
        <f t="shared" si="26"/>
        <v>3682.2424988544562</v>
      </c>
      <c r="P184" s="297"/>
      <c r="Q184" s="293">
        <f t="shared" si="27"/>
        <v>7364.4849977089125</v>
      </c>
    </row>
    <row r="185" spans="9:17" s="146" customFormat="1" ht="15.5" hidden="1" x14ac:dyDescent="0.35">
      <c r="I185" s="290" t="s">
        <v>221</v>
      </c>
      <c r="J185" s="294"/>
      <c r="K185" s="293">
        <f t="shared" si="24"/>
        <v>1918.4483419031717</v>
      </c>
      <c r="L185" s="297"/>
      <c r="M185" s="293">
        <f t="shared" si="25"/>
        <v>3836.8966838063434</v>
      </c>
      <c r="N185" s="297"/>
      <c r="O185" s="293">
        <f t="shared" si="26"/>
        <v>3836.8966838063434</v>
      </c>
      <c r="P185" s="297"/>
      <c r="Q185" s="293">
        <f t="shared" si="27"/>
        <v>7673.7933676126868</v>
      </c>
    </row>
    <row r="186" spans="9:17" s="146" customFormat="1" ht="15.5" hidden="1" x14ac:dyDescent="0.35">
      <c r="I186" s="290" t="s">
        <v>222</v>
      </c>
      <c r="J186" s="294"/>
      <c r="K186" s="293">
        <f t="shared" si="24"/>
        <v>1999.0231722631049</v>
      </c>
      <c r="L186" s="297"/>
      <c r="M186" s="293">
        <f t="shared" si="25"/>
        <v>3998.0463445262099</v>
      </c>
      <c r="N186" s="297"/>
      <c r="O186" s="293">
        <f t="shared" si="26"/>
        <v>3998.0463445262099</v>
      </c>
      <c r="P186" s="297"/>
      <c r="Q186" s="293">
        <f t="shared" si="27"/>
        <v>7996.0926890524197</v>
      </c>
    </row>
    <row r="187" spans="9:17" s="146" customFormat="1" ht="15.5" hidden="1" x14ac:dyDescent="0.35">
      <c r="I187" s="290" t="s">
        <v>232</v>
      </c>
      <c r="J187" s="294"/>
      <c r="K187" s="293">
        <f t="shared" si="24"/>
        <v>2082.9821454981552</v>
      </c>
      <c r="L187" s="297"/>
      <c r="M187" s="293">
        <f t="shared" si="25"/>
        <v>4165.9642909963104</v>
      </c>
      <c r="N187" s="297"/>
      <c r="O187" s="293">
        <f t="shared" si="26"/>
        <v>4165.9642909963104</v>
      </c>
      <c r="P187" s="297"/>
      <c r="Q187" s="293">
        <f t="shared" si="27"/>
        <v>8331.9285819926208</v>
      </c>
    </row>
    <row r="188" spans="9:17" s="146" customFormat="1" ht="15.5" hidden="1" x14ac:dyDescent="0.35">
      <c r="I188" s="290"/>
      <c r="J188" s="294"/>
      <c r="K188" s="293">
        <v>0</v>
      </c>
      <c r="L188" s="294"/>
      <c r="M188" s="295"/>
      <c r="N188" s="291"/>
      <c r="O188" s="293">
        <v>0</v>
      </c>
      <c r="P188" s="291"/>
      <c r="Q188" s="295"/>
    </row>
    <row r="189" spans="9:17" s="146" customFormat="1" ht="15.5" hidden="1" x14ac:dyDescent="0.35">
      <c r="I189" s="290" t="s">
        <v>135</v>
      </c>
      <c r="J189" s="294"/>
      <c r="K189" s="298">
        <f>Q189/4</f>
        <v>868.75</v>
      </c>
      <c r="L189" s="291"/>
      <c r="M189" s="298">
        <f>Q189/2</f>
        <v>1737.5</v>
      </c>
      <c r="N189" s="291"/>
      <c r="O189" s="298">
        <f>Q189/2</f>
        <v>1737.5</v>
      </c>
      <c r="P189" s="299"/>
      <c r="Q189" s="298">
        <v>3475</v>
      </c>
    </row>
    <row r="190" spans="9:17" s="146" customFormat="1" ht="15.5" hidden="1" x14ac:dyDescent="0.35">
      <c r="I190" s="290" t="s">
        <v>141</v>
      </c>
      <c r="J190" s="294"/>
      <c r="K190" s="293">
        <f>K189*$S$108</f>
        <v>905.23750000000007</v>
      </c>
      <c r="L190" s="291"/>
      <c r="M190" s="293">
        <f>M189*$S$108</f>
        <v>1810.4750000000001</v>
      </c>
      <c r="N190" s="291"/>
      <c r="O190" s="293">
        <f>O189*$S$108</f>
        <v>1810.4750000000001</v>
      </c>
      <c r="P190" s="299"/>
      <c r="Q190" s="293">
        <f>Q189*$S$108</f>
        <v>3620.9500000000003</v>
      </c>
    </row>
    <row r="191" spans="9:17" s="146" customFormat="1" ht="15.5" hidden="1" x14ac:dyDescent="0.35">
      <c r="I191" s="290" t="s">
        <v>142</v>
      </c>
      <c r="J191" s="294"/>
      <c r="K191" s="293">
        <f t="shared" ref="K191:K196" si="28">K190*$S$108</f>
        <v>943.25747500000011</v>
      </c>
      <c r="L191" s="291"/>
      <c r="M191" s="293">
        <f t="shared" ref="M191:M196" si="29">M190*$S$108</f>
        <v>1886.5149500000002</v>
      </c>
      <c r="N191" s="291"/>
      <c r="O191" s="293">
        <f t="shared" ref="O191:O196" si="30">O190*$S$108</f>
        <v>1886.5149500000002</v>
      </c>
      <c r="P191" s="299"/>
      <c r="Q191" s="293">
        <f t="shared" ref="Q191:Q196" si="31">Q190*$S$108</f>
        <v>3773.0299000000005</v>
      </c>
    </row>
    <row r="192" spans="9:17" s="146" customFormat="1" ht="15.5" hidden="1" x14ac:dyDescent="0.35">
      <c r="I192" s="290" t="s">
        <v>155</v>
      </c>
      <c r="J192" s="294"/>
      <c r="K192" s="293">
        <f t="shared" si="28"/>
        <v>982.87428895000016</v>
      </c>
      <c r="L192" s="291"/>
      <c r="M192" s="293">
        <f t="shared" si="29"/>
        <v>1965.7485779000003</v>
      </c>
      <c r="N192" s="291"/>
      <c r="O192" s="293">
        <f t="shared" si="30"/>
        <v>1965.7485779000003</v>
      </c>
      <c r="P192" s="299"/>
      <c r="Q192" s="293">
        <f t="shared" si="31"/>
        <v>3931.4971558000007</v>
      </c>
    </row>
    <row r="193" spans="9:19" s="146" customFormat="1" ht="15.5" hidden="1" x14ac:dyDescent="0.35">
      <c r="I193" s="290" t="s">
        <v>160</v>
      </c>
      <c r="J193" s="294"/>
      <c r="K193" s="293">
        <f t="shared" si="28"/>
        <v>1024.1550090859002</v>
      </c>
      <c r="L193" s="291"/>
      <c r="M193" s="293">
        <f t="shared" si="29"/>
        <v>2048.3100181718005</v>
      </c>
      <c r="N193" s="291"/>
      <c r="O193" s="293">
        <f t="shared" si="30"/>
        <v>2048.3100181718005</v>
      </c>
      <c r="P193" s="299"/>
      <c r="Q193" s="293">
        <f t="shared" si="31"/>
        <v>4096.620036343601</v>
      </c>
    </row>
    <row r="194" spans="9:19" s="146" customFormat="1" ht="15.5" hidden="1" x14ac:dyDescent="0.35">
      <c r="I194" s="290" t="s">
        <v>216</v>
      </c>
      <c r="J194" s="294"/>
      <c r="K194" s="293">
        <f t="shared" si="28"/>
        <v>1067.1695194675081</v>
      </c>
      <c r="L194" s="291"/>
      <c r="M194" s="293">
        <f t="shared" si="29"/>
        <v>2134.3390389350161</v>
      </c>
      <c r="N194" s="291"/>
      <c r="O194" s="293">
        <f t="shared" si="30"/>
        <v>2134.3390389350161</v>
      </c>
      <c r="P194" s="299"/>
      <c r="Q194" s="293">
        <f t="shared" si="31"/>
        <v>4268.6780778700322</v>
      </c>
    </row>
    <row r="195" spans="9:19" s="146" customFormat="1" ht="15.5" hidden="1" x14ac:dyDescent="0.35">
      <c r="I195" s="290" t="s">
        <v>223</v>
      </c>
      <c r="J195" s="294"/>
      <c r="K195" s="293">
        <f t="shared" si="28"/>
        <v>1111.9906392851435</v>
      </c>
      <c r="L195" s="291"/>
      <c r="M195" s="293">
        <f t="shared" si="29"/>
        <v>2223.981278570287</v>
      </c>
      <c r="N195" s="291"/>
      <c r="O195" s="293">
        <f t="shared" si="30"/>
        <v>2223.981278570287</v>
      </c>
      <c r="P195" s="299"/>
      <c r="Q195" s="293">
        <f t="shared" si="31"/>
        <v>4447.9625571405741</v>
      </c>
    </row>
    <row r="196" spans="9:19" s="146" customFormat="1" ht="15.5" hidden="1" x14ac:dyDescent="0.35">
      <c r="I196" s="290" t="s">
        <v>233</v>
      </c>
      <c r="J196" s="301"/>
      <c r="K196" s="293">
        <f t="shared" si="28"/>
        <v>1158.6942461351196</v>
      </c>
      <c r="L196" s="302"/>
      <c r="M196" s="293">
        <f t="shared" si="29"/>
        <v>2317.3884922702391</v>
      </c>
      <c r="N196" s="302"/>
      <c r="O196" s="293">
        <f t="shared" si="30"/>
        <v>2317.3884922702391</v>
      </c>
      <c r="P196" s="303"/>
      <c r="Q196" s="293">
        <f t="shared" si="31"/>
        <v>4634.7769845404782</v>
      </c>
      <c r="R196" s="285"/>
      <c r="S196" s="285"/>
    </row>
    <row r="197" spans="9:19" s="143" customFormat="1" ht="15.5" hidden="1" x14ac:dyDescent="0.35"/>
    <row r="198" spans="9:19" s="143" customFormat="1" ht="18" hidden="1" customHeight="1" x14ac:dyDescent="0.35">
      <c r="I198" s="300" t="s">
        <v>217</v>
      </c>
      <c r="J198" s="300"/>
      <c r="K198" s="300"/>
      <c r="L198" s="300"/>
      <c r="M198" s="300"/>
      <c r="N198" s="300"/>
      <c r="O198" s="300"/>
      <c r="P198" s="300"/>
      <c r="Q198" s="300"/>
    </row>
    <row r="199" spans="9:19" s="143" customFormat="1" ht="15.5" hidden="1" x14ac:dyDescent="0.35">
      <c r="I199" s="294"/>
      <c r="J199" s="291"/>
      <c r="K199" s="295" t="s">
        <v>56</v>
      </c>
      <c r="L199" s="291"/>
      <c r="M199" s="295" t="s">
        <v>57</v>
      </c>
      <c r="N199" s="291"/>
      <c r="O199" s="295" t="s">
        <v>58</v>
      </c>
      <c r="P199" s="291"/>
      <c r="Q199" s="295" t="s">
        <v>59</v>
      </c>
    </row>
    <row r="200" spans="9:19" s="143" customFormat="1" ht="15.5" hidden="1" x14ac:dyDescent="0.35">
      <c r="I200" s="290"/>
      <c r="J200" s="291"/>
      <c r="K200" s="294"/>
      <c r="L200" s="294"/>
      <c r="M200" s="295"/>
      <c r="N200" s="291"/>
      <c r="O200" s="295"/>
      <c r="P200" s="291"/>
      <c r="Q200" s="295"/>
    </row>
    <row r="201" spans="9:19" s="143" customFormat="1" ht="15.5" hidden="1" x14ac:dyDescent="0.35">
      <c r="I201" s="290" t="s">
        <v>134</v>
      </c>
      <c r="J201" s="294"/>
      <c r="K201" s="292">
        <f>Q201/4</f>
        <v>1429.5</v>
      </c>
      <c r="L201" s="291"/>
      <c r="M201" s="292">
        <f>Q201/2</f>
        <v>2859</v>
      </c>
      <c r="N201" s="291"/>
      <c r="O201" s="292">
        <f>Q201/2</f>
        <v>2859</v>
      </c>
      <c r="P201" s="291"/>
      <c r="Q201" s="292">
        <v>5718</v>
      </c>
    </row>
    <row r="202" spans="9:19" s="143" customFormat="1" ht="15.5" hidden="1" x14ac:dyDescent="0.35">
      <c r="I202" s="290" t="s">
        <v>137</v>
      </c>
      <c r="J202" s="294"/>
      <c r="K202" s="293">
        <f>K201*$S$108</f>
        <v>1489.539</v>
      </c>
      <c r="L202" s="291"/>
      <c r="M202" s="293">
        <f>M201*$S$108</f>
        <v>2979.078</v>
      </c>
      <c r="N202" s="291"/>
      <c r="O202" s="293">
        <f>O201*$S$108</f>
        <v>2979.078</v>
      </c>
      <c r="P202" s="291"/>
      <c r="Q202" s="293">
        <f>Q201*$S$108</f>
        <v>5958.1559999999999</v>
      </c>
    </row>
    <row r="203" spans="9:19" s="143" customFormat="1" ht="15.5" hidden="1" x14ac:dyDescent="0.35">
      <c r="I203" s="290" t="s">
        <v>138</v>
      </c>
      <c r="J203" s="294"/>
      <c r="K203" s="293">
        <f t="shared" ref="K203:K208" si="32">K202*$S$108</f>
        <v>1552.0996380000001</v>
      </c>
      <c r="L203" s="291"/>
      <c r="M203" s="293">
        <f t="shared" ref="M203:M208" si="33">M202*$S$108</f>
        <v>3104.1992760000003</v>
      </c>
      <c r="N203" s="291"/>
      <c r="O203" s="293">
        <f t="shared" ref="O203:O208" si="34">O202*$S$108</f>
        <v>3104.1992760000003</v>
      </c>
      <c r="P203" s="291"/>
      <c r="Q203" s="293">
        <f t="shared" ref="Q203:Q208" si="35">Q202*$S$108</f>
        <v>6208.3985520000006</v>
      </c>
    </row>
    <row r="204" spans="9:19" s="143" customFormat="1" ht="15.5" hidden="1" x14ac:dyDescent="0.35">
      <c r="I204" s="290" t="s">
        <v>154</v>
      </c>
      <c r="J204" s="294"/>
      <c r="K204" s="293">
        <f t="shared" si="32"/>
        <v>1617.2878227960002</v>
      </c>
      <c r="L204" s="291"/>
      <c r="M204" s="293">
        <f t="shared" si="33"/>
        <v>3234.5756455920005</v>
      </c>
      <c r="N204" s="291"/>
      <c r="O204" s="293">
        <f t="shared" si="34"/>
        <v>3234.5756455920005</v>
      </c>
      <c r="P204" s="291"/>
      <c r="Q204" s="293">
        <f t="shared" si="35"/>
        <v>6469.1512911840009</v>
      </c>
    </row>
    <row r="205" spans="9:19" s="143" customFormat="1" ht="15.5" hidden="1" x14ac:dyDescent="0.35">
      <c r="I205" s="290" t="s">
        <v>158</v>
      </c>
      <c r="J205" s="294"/>
      <c r="K205" s="293">
        <f t="shared" si="32"/>
        <v>1685.2139113534322</v>
      </c>
      <c r="L205" s="291"/>
      <c r="M205" s="293">
        <f t="shared" si="33"/>
        <v>3370.4278227068644</v>
      </c>
      <c r="N205" s="291"/>
      <c r="O205" s="293">
        <f t="shared" si="34"/>
        <v>3370.4278227068644</v>
      </c>
      <c r="P205" s="291"/>
      <c r="Q205" s="293">
        <f t="shared" si="35"/>
        <v>6740.8556454137288</v>
      </c>
    </row>
    <row r="206" spans="9:19" s="143" customFormat="1" ht="15.5" hidden="1" x14ac:dyDescent="0.35">
      <c r="I206" s="290" t="s">
        <v>215</v>
      </c>
      <c r="J206" s="294"/>
      <c r="K206" s="293">
        <f t="shared" si="32"/>
        <v>1755.9928956302765</v>
      </c>
      <c r="L206" s="291"/>
      <c r="M206" s="293">
        <f t="shared" si="33"/>
        <v>3511.985791260553</v>
      </c>
      <c r="N206" s="291"/>
      <c r="O206" s="293">
        <f t="shared" si="34"/>
        <v>3511.985791260553</v>
      </c>
      <c r="P206" s="291"/>
      <c r="Q206" s="293">
        <f t="shared" si="35"/>
        <v>7023.971582521106</v>
      </c>
    </row>
    <row r="207" spans="9:19" s="143" customFormat="1" ht="15.5" hidden="1" x14ac:dyDescent="0.35">
      <c r="I207" s="290" t="s">
        <v>220</v>
      </c>
      <c r="J207" s="294"/>
      <c r="K207" s="293">
        <f t="shared" si="32"/>
        <v>1829.7445972467483</v>
      </c>
      <c r="L207" s="291"/>
      <c r="M207" s="293">
        <f t="shared" si="33"/>
        <v>3659.4891944934966</v>
      </c>
      <c r="N207" s="291"/>
      <c r="O207" s="293">
        <f t="shared" si="34"/>
        <v>3659.4891944934966</v>
      </c>
      <c r="P207" s="291"/>
      <c r="Q207" s="293">
        <f t="shared" si="35"/>
        <v>7318.9783889869932</v>
      </c>
    </row>
    <row r="208" spans="9:19" s="143" customFormat="1" ht="15.5" hidden="1" x14ac:dyDescent="0.35">
      <c r="I208" s="290" t="s">
        <v>231</v>
      </c>
      <c r="J208" s="294"/>
      <c r="K208" s="293">
        <f t="shared" si="32"/>
        <v>1906.5938703311117</v>
      </c>
      <c r="L208" s="291"/>
      <c r="M208" s="293">
        <f t="shared" si="33"/>
        <v>3813.1877406622234</v>
      </c>
      <c r="N208" s="291"/>
      <c r="O208" s="293">
        <f t="shared" si="34"/>
        <v>3813.1877406622234</v>
      </c>
      <c r="P208" s="291"/>
      <c r="Q208" s="293">
        <f t="shared" si="35"/>
        <v>7626.3754813244468</v>
      </c>
    </row>
    <row r="209" spans="9:17" s="143" customFormat="1" ht="15.5" hidden="1" x14ac:dyDescent="0.35">
      <c r="I209" s="290"/>
      <c r="J209" s="294"/>
      <c r="K209" s="293">
        <v>0</v>
      </c>
      <c r="L209" s="294"/>
      <c r="M209" s="295"/>
      <c r="N209" s="291"/>
      <c r="O209" s="293">
        <v>0</v>
      </c>
      <c r="P209" s="291"/>
      <c r="Q209" s="295"/>
    </row>
    <row r="210" spans="9:17" s="143" customFormat="1" ht="15.5" hidden="1" x14ac:dyDescent="0.35">
      <c r="I210" s="290" t="s">
        <v>139</v>
      </c>
      <c r="J210" s="294"/>
      <c r="K210" s="296">
        <f>Q210/4</f>
        <v>1429.5</v>
      </c>
      <c r="L210" s="297"/>
      <c r="M210" s="296">
        <f>Q210/2</f>
        <v>2859</v>
      </c>
      <c r="N210" s="297"/>
      <c r="O210" s="296">
        <f>Q210/2</f>
        <v>2859</v>
      </c>
      <c r="P210" s="297"/>
      <c r="Q210" s="296">
        <v>5718</v>
      </c>
    </row>
    <row r="211" spans="9:17" s="143" customFormat="1" ht="15.5" hidden="1" x14ac:dyDescent="0.35">
      <c r="I211" s="290" t="s">
        <v>140</v>
      </c>
      <c r="J211" s="294"/>
      <c r="K211" s="293">
        <f>M211/2</f>
        <v>1489.539</v>
      </c>
      <c r="L211" s="297"/>
      <c r="M211" s="293">
        <f>O211</f>
        <v>2979.078</v>
      </c>
      <c r="N211" s="297"/>
      <c r="O211" s="293">
        <f>Q211/2</f>
        <v>2979.078</v>
      </c>
      <c r="P211" s="297"/>
      <c r="Q211" s="293">
        <f>Q210*$S$108</f>
        <v>5958.1559999999999</v>
      </c>
    </row>
    <row r="212" spans="9:17" s="143" customFormat="1" ht="15.5" hidden="1" x14ac:dyDescent="0.35">
      <c r="I212" s="290" t="s">
        <v>151</v>
      </c>
      <c r="J212" s="294"/>
      <c r="K212" s="293">
        <f t="shared" ref="K212:K217" si="36">K211*$S$108</f>
        <v>1552.0996380000001</v>
      </c>
      <c r="L212" s="297"/>
      <c r="M212" s="293">
        <f t="shared" ref="M212:M217" si="37">M211*$S$108</f>
        <v>3104.1992760000003</v>
      </c>
      <c r="N212" s="297"/>
      <c r="O212" s="293">
        <f t="shared" ref="O212:O217" si="38">O211*$S$108</f>
        <v>3104.1992760000003</v>
      </c>
      <c r="P212" s="297"/>
      <c r="Q212" s="293">
        <f>Q211*$S$108</f>
        <v>6208.3985520000006</v>
      </c>
    </row>
    <row r="213" spans="9:17" s="143" customFormat="1" ht="15.5" hidden="1" x14ac:dyDescent="0.35">
      <c r="I213" s="290" t="s">
        <v>156</v>
      </c>
      <c r="J213" s="294"/>
      <c r="K213" s="293">
        <f t="shared" si="36"/>
        <v>1617.2878227960002</v>
      </c>
      <c r="L213" s="297"/>
      <c r="M213" s="293">
        <f t="shared" si="37"/>
        <v>3234.5756455920005</v>
      </c>
      <c r="N213" s="297"/>
      <c r="O213" s="293">
        <f t="shared" si="38"/>
        <v>3234.5756455920005</v>
      </c>
      <c r="P213" s="297"/>
      <c r="Q213" s="293">
        <f t="shared" ref="Q213:Q217" si="39">Q212*$S$108</f>
        <v>6469.1512911840009</v>
      </c>
    </row>
    <row r="214" spans="9:17" s="143" customFormat="1" ht="15.5" hidden="1" x14ac:dyDescent="0.35">
      <c r="I214" s="290" t="s">
        <v>159</v>
      </c>
      <c r="J214" s="294"/>
      <c r="K214" s="293">
        <f t="shared" si="36"/>
        <v>1685.2139113534322</v>
      </c>
      <c r="L214" s="297"/>
      <c r="M214" s="293">
        <f t="shared" si="37"/>
        <v>3370.4278227068644</v>
      </c>
      <c r="N214" s="297"/>
      <c r="O214" s="293">
        <f t="shared" si="38"/>
        <v>3370.4278227068644</v>
      </c>
      <c r="P214" s="297"/>
      <c r="Q214" s="293">
        <f t="shared" si="39"/>
        <v>6740.8556454137288</v>
      </c>
    </row>
    <row r="215" spans="9:17" s="143" customFormat="1" ht="15.5" hidden="1" x14ac:dyDescent="0.35">
      <c r="I215" s="290" t="s">
        <v>221</v>
      </c>
      <c r="J215" s="294"/>
      <c r="K215" s="293">
        <f t="shared" si="36"/>
        <v>1755.9928956302765</v>
      </c>
      <c r="L215" s="297"/>
      <c r="M215" s="293">
        <f t="shared" si="37"/>
        <v>3511.985791260553</v>
      </c>
      <c r="N215" s="297"/>
      <c r="O215" s="293">
        <f t="shared" si="38"/>
        <v>3511.985791260553</v>
      </c>
      <c r="P215" s="297"/>
      <c r="Q215" s="293">
        <f t="shared" si="39"/>
        <v>7023.971582521106</v>
      </c>
    </row>
    <row r="216" spans="9:17" s="143" customFormat="1" ht="15.5" hidden="1" x14ac:dyDescent="0.35">
      <c r="I216" s="290" t="s">
        <v>222</v>
      </c>
      <c r="J216" s="294"/>
      <c r="K216" s="293">
        <f t="shared" si="36"/>
        <v>1829.7445972467483</v>
      </c>
      <c r="L216" s="297"/>
      <c r="M216" s="293">
        <f t="shared" si="37"/>
        <v>3659.4891944934966</v>
      </c>
      <c r="N216" s="297"/>
      <c r="O216" s="293">
        <f t="shared" si="38"/>
        <v>3659.4891944934966</v>
      </c>
      <c r="P216" s="297"/>
      <c r="Q216" s="293">
        <f t="shared" si="39"/>
        <v>7318.9783889869932</v>
      </c>
    </row>
    <row r="217" spans="9:17" s="143" customFormat="1" ht="15.5" hidden="1" x14ac:dyDescent="0.35">
      <c r="I217" s="290" t="s">
        <v>232</v>
      </c>
      <c r="J217" s="294"/>
      <c r="K217" s="293">
        <f t="shared" si="36"/>
        <v>1906.5938703311117</v>
      </c>
      <c r="L217" s="297"/>
      <c r="M217" s="293">
        <f t="shared" si="37"/>
        <v>3813.1877406622234</v>
      </c>
      <c r="N217" s="297"/>
      <c r="O217" s="293">
        <f t="shared" si="38"/>
        <v>3813.1877406622234</v>
      </c>
      <c r="P217" s="297"/>
      <c r="Q217" s="293">
        <f t="shared" si="39"/>
        <v>7626.3754813244468</v>
      </c>
    </row>
    <row r="218" spans="9:17" s="143" customFormat="1" ht="15.5" hidden="1" x14ac:dyDescent="0.35">
      <c r="I218" s="290"/>
      <c r="J218" s="294"/>
      <c r="K218" s="293">
        <v>0</v>
      </c>
      <c r="L218" s="294"/>
      <c r="M218" s="295"/>
      <c r="N218" s="291"/>
      <c r="O218" s="293">
        <v>0</v>
      </c>
      <c r="P218" s="291"/>
      <c r="Q218" s="295"/>
    </row>
    <row r="219" spans="9:17" s="143" customFormat="1" ht="15.5" hidden="1" x14ac:dyDescent="0.35">
      <c r="I219" s="290" t="s">
        <v>135</v>
      </c>
      <c r="J219" s="294"/>
      <c r="K219" s="298">
        <f>Q219/4</f>
        <v>795</v>
      </c>
      <c r="L219" s="291"/>
      <c r="M219" s="298">
        <f>Q219/2</f>
        <v>1590</v>
      </c>
      <c r="N219" s="291"/>
      <c r="O219" s="298">
        <f>Q219/2</f>
        <v>1590</v>
      </c>
      <c r="P219" s="299"/>
      <c r="Q219" s="298">
        <v>3180</v>
      </c>
    </row>
    <row r="220" spans="9:17" s="143" customFormat="1" ht="15.5" hidden="1" x14ac:dyDescent="0.35">
      <c r="I220" s="290" t="s">
        <v>141</v>
      </c>
      <c r="J220" s="294"/>
      <c r="K220" s="293">
        <f>K219*$S$108</f>
        <v>828.39</v>
      </c>
      <c r="L220" s="291"/>
      <c r="M220" s="293">
        <f>M219*$S$108</f>
        <v>1656.78</v>
      </c>
      <c r="N220" s="291"/>
      <c r="O220" s="293">
        <f>O219*$S$108</f>
        <v>1656.78</v>
      </c>
      <c r="P220" s="299"/>
      <c r="Q220" s="293">
        <f>Q219*$S$108</f>
        <v>3313.56</v>
      </c>
    </row>
    <row r="221" spans="9:17" s="143" customFormat="1" ht="15.5" hidden="1" x14ac:dyDescent="0.35">
      <c r="I221" s="290" t="s">
        <v>142</v>
      </c>
      <c r="J221" s="294"/>
      <c r="K221" s="293">
        <f t="shared" ref="K221:K226" si="40">K220*$S$108</f>
        <v>863.18237999999997</v>
      </c>
      <c r="L221" s="291"/>
      <c r="M221" s="293">
        <f t="shared" ref="M221:M226" si="41">M220*$S$108</f>
        <v>1726.3647599999999</v>
      </c>
      <c r="N221" s="291"/>
      <c r="O221" s="293">
        <f t="shared" ref="O221:O226" si="42">O220*$S$108</f>
        <v>1726.3647599999999</v>
      </c>
      <c r="P221" s="299"/>
      <c r="Q221" s="293">
        <f t="shared" ref="Q221:Q226" si="43">Q220*$S$108</f>
        <v>3452.7295199999999</v>
      </c>
    </row>
    <row r="222" spans="9:17" s="143" customFormat="1" ht="15.5" hidden="1" x14ac:dyDescent="0.35">
      <c r="I222" s="290" t="s">
        <v>155</v>
      </c>
      <c r="J222" s="294"/>
      <c r="K222" s="293">
        <f t="shared" si="40"/>
        <v>899.43603996000002</v>
      </c>
      <c r="L222" s="291"/>
      <c r="M222" s="293">
        <f t="shared" si="41"/>
        <v>1798.87207992</v>
      </c>
      <c r="N222" s="291"/>
      <c r="O222" s="293">
        <f t="shared" si="42"/>
        <v>1798.87207992</v>
      </c>
      <c r="P222" s="299"/>
      <c r="Q222" s="293">
        <f t="shared" si="43"/>
        <v>3597.7441598400001</v>
      </c>
    </row>
    <row r="223" spans="9:17" s="143" customFormat="1" ht="15.5" hidden="1" x14ac:dyDescent="0.35">
      <c r="I223" s="290" t="s">
        <v>160</v>
      </c>
      <c r="J223" s="294"/>
      <c r="K223" s="293">
        <f t="shared" si="40"/>
        <v>937.21235363832</v>
      </c>
      <c r="L223" s="291"/>
      <c r="M223" s="293">
        <f t="shared" si="41"/>
        <v>1874.42470727664</v>
      </c>
      <c r="N223" s="291"/>
      <c r="O223" s="293">
        <f t="shared" si="42"/>
        <v>1874.42470727664</v>
      </c>
      <c r="P223" s="299"/>
      <c r="Q223" s="293">
        <f t="shared" si="43"/>
        <v>3748.84941455328</v>
      </c>
    </row>
    <row r="224" spans="9:17" s="143" customFormat="1" ht="15.5" hidden="1" x14ac:dyDescent="0.35">
      <c r="I224" s="290" t="s">
        <v>216</v>
      </c>
      <c r="J224" s="294"/>
      <c r="K224" s="293">
        <f t="shared" si="40"/>
        <v>976.57527249112945</v>
      </c>
      <c r="L224" s="291"/>
      <c r="M224" s="293">
        <f t="shared" si="41"/>
        <v>1953.1505449822589</v>
      </c>
      <c r="N224" s="291"/>
      <c r="O224" s="293">
        <f t="shared" si="42"/>
        <v>1953.1505449822589</v>
      </c>
      <c r="P224" s="299"/>
      <c r="Q224" s="293">
        <f t="shared" si="43"/>
        <v>3906.3010899645178</v>
      </c>
    </row>
    <row r="225" spans="9:20" s="143" customFormat="1" ht="15.5" hidden="1" x14ac:dyDescent="0.35">
      <c r="I225" s="290" t="s">
        <v>223</v>
      </c>
      <c r="J225" s="294"/>
      <c r="K225" s="293">
        <f t="shared" si="40"/>
        <v>1017.591433935757</v>
      </c>
      <c r="L225" s="291"/>
      <c r="M225" s="293">
        <f t="shared" si="41"/>
        <v>2035.182867871514</v>
      </c>
      <c r="N225" s="291"/>
      <c r="O225" s="293">
        <f t="shared" si="42"/>
        <v>2035.182867871514</v>
      </c>
      <c r="P225" s="299"/>
      <c r="Q225" s="293">
        <f t="shared" si="43"/>
        <v>4070.3657357430279</v>
      </c>
    </row>
    <row r="226" spans="9:20" s="143" customFormat="1" ht="15.5" hidden="1" x14ac:dyDescent="0.35">
      <c r="I226" s="290" t="s">
        <v>233</v>
      </c>
      <c r="J226" s="301"/>
      <c r="K226" s="293">
        <f t="shared" si="40"/>
        <v>1060.3302741610589</v>
      </c>
      <c r="L226" s="302"/>
      <c r="M226" s="293">
        <f t="shared" si="41"/>
        <v>2120.6605483221178</v>
      </c>
      <c r="N226" s="302"/>
      <c r="O226" s="293">
        <f t="shared" si="42"/>
        <v>2120.6605483221178</v>
      </c>
      <c r="P226" s="303"/>
      <c r="Q226" s="293">
        <f t="shared" si="43"/>
        <v>4241.3210966442357</v>
      </c>
    </row>
    <row r="227" spans="9:20" s="143" customFormat="1" ht="15.5" hidden="1" x14ac:dyDescent="0.35"/>
    <row r="228" spans="9:20" ht="15.5" hidden="1" x14ac:dyDescent="0.35">
      <c r="I228" s="300" t="s">
        <v>226</v>
      </c>
      <c r="J228" s="300"/>
      <c r="K228" s="300"/>
      <c r="L228" s="300"/>
      <c r="M228" s="300"/>
      <c r="N228" s="300"/>
      <c r="O228" s="300"/>
      <c r="P228" s="300"/>
      <c r="Q228" s="300"/>
      <c r="R228" s="143"/>
      <c r="S228" s="143"/>
      <c r="T228" s="143"/>
    </row>
    <row r="229" spans="9:20" ht="15.5" hidden="1" x14ac:dyDescent="0.35">
      <c r="I229" s="294"/>
      <c r="J229" s="291"/>
      <c r="K229" s="295" t="s">
        <v>56</v>
      </c>
      <c r="L229" s="291"/>
      <c r="M229" s="295" t="s">
        <v>57</v>
      </c>
      <c r="N229" s="291"/>
      <c r="O229" s="295" t="s">
        <v>58</v>
      </c>
      <c r="P229" s="291"/>
      <c r="Q229" s="295" t="s">
        <v>59</v>
      </c>
      <c r="R229" s="143"/>
      <c r="S229" s="143"/>
      <c r="T229" s="143"/>
    </row>
    <row r="230" spans="9:20" ht="15.5" hidden="1" x14ac:dyDescent="0.35">
      <c r="I230" s="290"/>
      <c r="J230" s="291"/>
      <c r="K230" s="294"/>
      <c r="L230" s="294"/>
      <c r="M230" s="295"/>
      <c r="N230" s="291"/>
      <c r="O230" s="295"/>
      <c r="P230" s="291"/>
      <c r="Q230" s="295"/>
      <c r="R230" s="143"/>
      <c r="S230" s="143"/>
      <c r="T230" s="143"/>
    </row>
    <row r="231" spans="9:20" ht="15.5" hidden="1" x14ac:dyDescent="0.35">
      <c r="I231" s="290" t="s">
        <v>134</v>
      </c>
      <c r="J231" s="294"/>
      <c r="K231" s="292">
        <f>Q231/4</f>
        <v>1359.75</v>
      </c>
      <c r="L231" s="291"/>
      <c r="M231" s="292">
        <f>Q231/2</f>
        <v>2719.5</v>
      </c>
      <c r="N231" s="291"/>
      <c r="O231" s="292">
        <f>Q231/2</f>
        <v>2719.5</v>
      </c>
      <c r="P231" s="291"/>
      <c r="Q231" s="292">
        <v>5439</v>
      </c>
      <c r="R231" s="143"/>
      <c r="S231" s="143"/>
      <c r="T231" s="143"/>
    </row>
    <row r="232" spans="9:20" ht="15.5" hidden="1" x14ac:dyDescent="0.35">
      <c r="I232" s="290" t="s">
        <v>137</v>
      </c>
      <c r="J232" s="294"/>
      <c r="K232" s="293">
        <f>K231*$S$108</f>
        <v>1416.8595</v>
      </c>
      <c r="L232" s="291"/>
      <c r="M232" s="293">
        <f>M231*$S$108</f>
        <v>2833.7190000000001</v>
      </c>
      <c r="N232" s="291"/>
      <c r="O232" s="293">
        <f>O231*$S$108</f>
        <v>2833.7190000000001</v>
      </c>
      <c r="P232" s="291"/>
      <c r="Q232" s="293">
        <f>Q231*$S$108</f>
        <v>5667.4380000000001</v>
      </c>
      <c r="R232" s="143"/>
      <c r="S232" s="143"/>
      <c r="T232" s="143"/>
    </row>
    <row r="233" spans="9:20" ht="15.5" hidden="1" x14ac:dyDescent="0.35">
      <c r="I233" s="290" t="s">
        <v>138</v>
      </c>
      <c r="J233" s="294"/>
      <c r="K233" s="293">
        <f t="shared" ref="K233:K238" si="44">K232*$S$108</f>
        <v>1476.3675990000002</v>
      </c>
      <c r="L233" s="291"/>
      <c r="M233" s="293">
        <f t="shared" ref="M233:M238" si="45">M232*$S$108</f>
        <v>2952.7351980000003</v>
      </c>
      <c r="N233" s="291"/>
      <c r="O233" s="293">
        <f t="shared" ref="O233:O238" si="46">O232*$S$108</f>
        <v>2952.7351980000003</v>
      </c>
      <c r="P233" s="291"/>
      <c r="Q233" s="293">
        <f t="shared" ref="Q233:Q238" si="47">Q232*$S$108</f>
        <v>5905.4703960000006</v>
      </c>
      <c r="R233" s="143"/>
      <c r="S233" s="143"/>
      <c r="T233" s="143"/>
    </row>
    <row r="234" spans="9:20" ht="15.5" hidden="1" x14ac:dyDescent="0.35">
      <c r="I234" s="290" t="s">
        <v>154</v>
      </c>
      <c r="J234" s="294"/>
      <c r="K234" s="293">
        <f t="shared" si="44"/>
        <v>1538.3750381580003</v>
      </c>
      <c r="L234" s="291"/>
      <c r="M234" s="293">
        <f t="shared" si="45"/>
        <v>3076.7500763160006</v>
      </c>
      <c r="N234" s="291"/>
      <c r="O234" s="293">
        <f t="shared" si="46"/>
        <v>3076.7500763160006</v>
      </c>
      <c r="P234" s="291"/>
      <c r="Q234" s="293">
        <f t="shared" si="47"/>
        <v>6153.5001526320011</v>
      </c>
      <c r="R234" s="143"/>
      <c r="S234" s="143"/>
      <c r="T234" s="143"/>
    </row>
    <row r="235" spans="9:20" ht="15.5" hidden="1" x14ac:dyDescent="0.35">
      <c r="I235" s="290" t="s">
        <v>158</v>
      </c>
      <c r="J235" s="294"/>
      <c r="K235" s="293">
        <f t="shared" si="44"/>
        <v>1602.9867897606364</v>
      </c>
      <c r="L235" s="291"/>
      <c r="M235" s="293">
        <f t="shared" si="45"/>
        <v>3205.9735795212728</v>
      </c>
      <c r="N235" s="291"/>
      <c r="O235" s="293">
        <f t="shared" si="46"/>
        <v>3205.9735795212728</v>
      </c>
      <c r="P235" s="291"/>
      <c r="Q235" s="293">
        <f t="shared" si="47"/>
        <v>6411.9471590425455</v>
      </c>
      <c r="R235" s="143"/>
      <c r="S235" s="143"/>
      <c r="T235" s="143"/>
    </row>
    <row r="236" spans="9:20" ht="15.5" hidden="1" x14ac:dyDescent="0.35">
      <c r="I236" s="290" t="s">
        <v>215</v>
      </c>
      <c r="J236" s="294"/>
      <c r="K236" s="293">
        <f t="shared" si="44"/>
        <v>1670.3122349305831</v>
      </c>
      <c r="L236" s="291"/>
      <c r="M236" s="293">
        <f t="shared" si="45"/>
        <v>3340.6244698611663</v>
      </c>
      <c r="N236" s="291"/>
      <c r="O236" s="293">
        <f t="shared" si="46"/>
        <v>3340.6244698611663</v>
      </c>
      <c r="P236" s="291"/>
      <c r="Q236" s="293">
        <f t="shared" si="47"/>
        <v>6681.2489397223326</v>
      </c>
      <c r="R236" s="143"/>
      <c r="S236" s="143"/>
      <c r="T236" s="143"/>
    </row>
    <row r="237" spans="9:20" ht="15.5" hidden="1" x14ac:dyDescent="0.35">
      <c r="I237" s="290" t="s">
        <v>220</v>
      </c>
      <c r="J237" s="294"/>
      <c r="K237" s="293">
        <f t="shared" si="44"/>
        <v>1740.4653487976677</v>
      </c>
      <c r="L237" s="291"/>
      <c r="M237" s="293">
        <f t="shared" si="45"/>
        <v>3480.9306975953355</v>
      </c>
      <c r="N237" s="291"/>
      <c r="O237" s="293">
        <f t="shared" si="46"/>
        <v>3480.9306975953355</v>
      </c>
      <c r="P237" s="291"/>
      <c r="Q237" s="293">
        <f t="shared" si="47"/>
        <v>6961.8613951906709</v>
      </c>
      <c r="R237" s="143"/>
      <c r="S237" s="143"/>
      <c r="T237" s="143"/>
    </row>
    <row r="238" spans="9:20" ht="15.5" hidden="1" x14ac:dyDescent="0.35">
      <c r="I238" s="290" t="s">
        <v>231</v>
      </c>
      <c r="J238" s="294"/>
      <c r="K238" s="293">
        <f t="shared" si="44"/>
        <v>1813.5648934471699</v>
      </c>
      <c r="L238" s="291"/>
      <c r="M238" s="293">
        <f t="shared" si="45"/>
        <v>3627.1297868943398</v>
      </c>
      <c r="N238" s="291"/>
      <c r="O238" s="293">
        <f t="shared" si="46"/>
        <v>3627.1297868943398</v>
      </c>
      <c r="P238" s="291"/>
      <c r="Q238" s="293">
        <f t="shared" si="47"/>
        <v>7254.2595737886795</v>
      </c>
      <c r="R238" s="143"/>
      <c r="S238" s="143"/>
      <c r="T238" s="143"/>
    </row>
    <row r="239" spans="9:20" ht="15.5" hidden="1" x14ac:dyDescent="0.35">
      <c r="I239" s="290"/>
      <c r="J239" s="294"/>
      <c r="K239" s="293">
        <v>0</v>
      </c>
      <c r="L239" s="294"/>
      <c r="M239" s="295"/>
      <c r="N239" s="291"/>
      <c r="O239" s="293">
        <v>0</v>
      </c>
      <c r="P239" s="291"/>
      <c r="Q239" s="295"/>
      <c r="R239" s="143"/>
      <c r="S239" s="143"/>
      <c r="T239" s="143"/>
    </row>
    <row r="240" spans="9:20" ht="15.5" hidden="1" x14ac:dyDescent="0.35">
      <c r="I240" s="290" t="s">
        <v>139</v>
      </c>
      <c r="J240" s="294"/>
      <c r="K240" s="296">
        <f>Q240/4</f>
        <v>1359.75</v>
      </c>
      <c r="L240" s="297"/>
      <c r="M240" s="296">
        <f>Q240/2</f>
        <v>2719.5</v>
      </c>
      <c r="N240" s="297"/>
      <c r="O240" s="296">
        <f>Q240/2</f>
        <v>2719.5</v>
      </c>
      <c r="P240" s="297"/>
      <c r="Q240" s="296">
        <v>5439</v>
      </c>
      <c r="R240" s="143"/>
      <c r="S240" s="143"/>
      <c r="T240" s="143"/>
    </row>
    <row r="241" spans="9:20" ht="15.5" hidden="1" x14ac:dyDescent="0.35">
      <c r="I241" s="290" t="s">
        <v>140</v>
      </c>
      <c r="J241" s="294"/>
      <c r="K241" s="293">
        <f>M241/2</f>
        <v>1416.8595</v>
      </c>
      <c r="L241" s="297"/>
      <c r="M241" s="293">
        <f>O241</f>
        <v>2833.7190000000001</v>
      </c>
      <c r="N241" s="297"/>
      <c r="O241" s="293">
        <f>Q241/2</f>
        <v>2833.7190000000001</v>
      </c>
      <c r="P241" s="297"/>
      <c r="Q241" s="293">
        <f>Q240*$S$108</f>
        <v>5667.4380000000001</v>
      </c>
      <c r="R241" s="143"/>
      <c r="S241" s="143"/>
      <c r="T241" s="143"/>
    </row>
    <row r="242" spans="9:20" ht="15.5" hidden="1" x14ac:dyDescent="0.35">
      <c r="I242" s="290" t="s">
        <v>151</v>
      </c>
      <c r="J242" s="294"/>
      <c r="K242" s="293">
        <f t="shared" ref="K242:K247" si="48">K241*$S$108</f>
        <v>1476.3675990000002</v>
      </c>
      <c r="L242" s="297"/>
      <c r="M242" s="293">
        <f t="shared" ref="M242:M247" si="49">M241*$S$108</f>
        <v>2952.7351980000003</v>
      </c>
      <c r="N242" s="297"/>
      <c r="O242" s="293">
        <f t="shared" ref="O242:O247" si="50">O241*$S$108</f>
        <v>2952.7351980000003</v>
      </c>
      <c r="P242" s="297"/>
      <c r="Q242" s="293">
        <f>Q241*$S$108</f>
        <v>5905.4703960000006</v>
      </c>
      <c r="R242" s="143"/>
      <c r="S242" s="143"/>
      <c r="T242" s="143"/>
    </row>
    <row r="243" spans="9:20" ht="15.5" hidden="1" x14ac:dyDescent="0.35">
      <c r="I243" s="290" t="s">
        <v>156</v>
      </c>
      <c r="J243" s="294"/>
      <c r="K243" s="293">
        <f t="shared" si="48"/>
        <v>1538.3750381580003</v>
      </c>
      <c r="L243" s="297"/>
      <c r="M243" s="293">
        <f t="shared" si="49"/>
        <v>3076.7500763160006</v>
      </c>
      <c r="N243" s="297"/>
      <c r="O243" s="293">
        <f t="shared" si="50"/>
        <v>3076.7500763160006</v>
      </c>
      <c r="P243" s="297"/>
      <c r="Q243" s="293">
        <f t="shared" ref="Q243:Q247" si="51">Q242*$S$108</f>
        <v>6153.5001526320011</v>
      </c>
      <c r="R243" s="143"/>
      <c r="S243" s="143"/>
      <c r="T243" s="143"/>
    </row>
    <row r="244" spans="9:20" ht="15.5" hidden="1" x14ac:dyDescent="0.35">
      <c r="I244" s="290" t="s">
        <v>159</v>
      </c>
      <c r="J244" s="294"/>
      <c r="K244" s="293">
        <f t="shared" si="48"/>
        <v>1602.9867897606364</v>
      </c>
      <c r="L244" s="297"/>
      <c r="M244" s="293">
        <f t="shared" si="49"/>
        <v>3205.9735795212728</v>
      </c>
      <c r="N244" s="297"/>
      <c r="O244" s="293">
        <f t="shared" si="50"/>
        <v>3205.9735795212728</v>
      </c>
      <c r="P244" s="297"/>
      <c r="Q244" s="293">
        <f t="shared" si="51"/>
        <v>6411.9471590425455</v>
      </c>
      <c r="R244" s="143"/>
      <c r="S244" s="143"/>
      <c r="T244" s="143"/>
    </row>
    <row r="245" spans="9:20" ht="15.5" hidden="1" x14ac:dyDescent="0.35">
      <c r="I245" s="290" t="s">
        <v>221</v>
      </c>
      <c r="J245" s="294"/>
      <c r="K245" s="293">
        <f t="shared" si="48"/>
        <v>1670.3122349305831</v>
      </c>
      <c r="L245" s="297"/>
      <c r="M245" s="293">
        <f t="shared" si="49"/>
        <v>3340.6244698611663</v>
      </c>
      <c r="N245" s="297"/>
      <c r="O245" s="293">
        <f t="shared" si="50"/>
        <v>3340.6244698611663</v>
      </c>
      <c r="P245" s="297"/>
      <c r="Q245" s="293">
        <f t="shared" si="51"/>
        <v>6681.2489397223326</v>
      </c>
      <c r="R245" s="143"/>
      <c r="S245" s="143"/>
      <c r="T245" s="143"/>
    </row>
    <row r="246" spans="9:20" ht="15.5" hidden="1" x14ac:dyDescent="0.35">
      <c r="I246" s="290" t="s">
        <v>222</v>
      </c>
      <c r="J246" s="294"/>
      <c r="K246" s="293">
        <f t="shared" si="48"/>
        <v>1740.4653487976677</v>
      </c>
      <c r="L246" s="297"/>
      <c r="M246" s="293">
        <f t="shared" si="49"/>
        <v>3480.9306975953355</v>
      </c>
      <c r="N246" s="297"/>
      <c r="O246" s="293">
        <f t="shared" si="50"/>
        <v>3480.9306975953355</v>
      </c>
      <c r="P246" s="297"/>
      <c r="Q246" s="293">
        <f t="shared" si="51"/>
        <v>6961.8613951906709</v>
      </c>
      <c r="R246" s="143"/>
      <c r="S246" s="143"/>
      <c r="T246" s="143"/>
    </row>
    <row r="247" spans="9:20" ht="15.5" hidden="1" x14ac:dyDescent="0.35">
      <c r="I247" s="290" t="s">
        <v>232</v>
      </c>
      <c r="J247" s="294"/>
      <c r="K247" s="293">
        <f t="shared" si="48"/>
        <v>1813.5648934471699</v>
      </c>
      <c r="L247" s="297"/>
      <c r="M247" s="293">
        <f t="shared" si="49"/>
        <v>3627.1297868943398</v>
      </c>
      <c r="N247" s="297"/>
      <c r="O247" s="293">
        <f t="shared" si="50"/>
        <v>3627.1297868943398</v>
      </c>
      <c r="P247" s="297"/>
      <c r="Q247" s="293">
        <f t="shared" si="51"/>
        <v>7254.2595737886795</v>
      </c>
      <c r="R247" s="143"/>
      <c r="S247" s="143"/>
      <c r="T247" s="143"/>
    </row>
    <row r="248" spans="9:20" ht="15.5" hidden="1" x14ac:dyDescent="0.35">
      <c r="I248" s="290"/>
      <c r="J248" s="294"/>
      <c r="K248" s="293">
        <v>0</v>
      </c>
      <c r="L248" s="294"/>
      <c r="M248" s="295"/>
      <c r="N248" s="291"/>
      <c r="O248" s="293">
        <v>0</v>
      </c>
      <c r="P248" s="291"/>
      <c r="Q248" s="295"/>
      <c r="R248" s="143"/>
      <c r="S248" s="143"/>
      <c r="T248" s="143"/>
    </row>
    <row r="249" spans="9:20" ht="15.5" hidden="1" x14ac:dyDescent="0.35">
      <c r="I249" s="290" t="s">
        <v>135</v>
      </c>
      <c r="J249" s="294"/>
      <c r="K249" s="298">
        <f>Q249/4</f>
        <v>756.25</v>
      </c>
      <c r="L249" s="291"/>
      <c r="M249" s="298">
        <f>Q249/2</f>
        <v>1512.5</v>
      </c>
      <c r="N249" s="291"/>
      <c r="O249" s="298">
        <f>Q249/2</f>
        <v>1512.5</v>
      </c>
      <c r="P249" s="299"/>
      <c r="Q249" s="298">
        <v>3025</v>
      </c>
      <c r="R249" s="143"/>
      <c r="S249" s="143"/>
      <c r="T249" s="143"/>
    </row>
    <row r="250" spans="9:20" ht="15.5" hidden="1" x14ac:dyDescent="0.35">
      <c r="I250" s="290" t="s">
        <v>141</v>
      </c>
      <c r="J250" s="294"/>
      <c r="K250" s="293">
        <f>K249*$S$108</f>
        <v>788.01250000000005</v>
      </c>
      <c r="L250" s="291"/>
      <c r="M250" s="293">
        <f>M249*$S$108</f>
        <v>1576.0250000000001</v>
      </c>
      <c r="N250" s="291"/>
      <c r="O250" s="293">
        <f>O249*$S$108</f>
        <v>1576.0250000000001</v>
      </c>
      <c r="P250" s="299"/>
      <c r="Q250" s="293">
        <f>Q249*$S$108</f>
        <v>3152.05</v>
      </c>
      <c r="R250" s="143"/>
      <c r="S250" s="143"/>
      <c r="T250" s="143"/>
    </row>
    <row r="251" spans="9:20" ht="15.5" hidden="1" x14ac:dyDescent="0.35">
      <c r="I251" s="290" t="s">
        <v>142</v>
      </c>
      <c r="J251" s="294"/>
      <c r="K251" s="293">
        <f t="shared" ref="K251:K256" si="52">K250*$S$108</f>
        <v>821.10902500000009</v>
      </c>
      <c r="L251" s="291"/>
      <c r="M251" s="293">
        <f t="shared" ref="M251:M256" si="53">M250*$S$108</f>
        <v>1642.2180500000002</v>
      </c>
      <c r="N251" s="291"/>
      <c r="O251" s="293">
        <f t="shared" ref="O251:O256" si="54">O250*$S$108</f>
        <v>1642.2180500000002</v>
      </c>
      <c r="P251" s="299"/>
      <c r="Q251" s="293">
        <f t="shared" ref="Q251:Q256" si="55">Q250*$S$108</f>
        <v>3284.4361000000004</v>
      </c>
      <c r="R251" s="143"/>
      <c r="S251" s="143"/>
      <c r="T251" s="143"/>
    </row>
    <row r="252" spans="9:20" ht="15.5" hidden="1" x14ac:dyDescent="0.35">
      <c r="I252" s="290" t="s">
        <v>155</v>
      </c>
      <c r="J252" s="294"/>
      <c r="K252" s="293">
        <f t="shared" si="52"/>
        <v>855.59560405000013</v>
      </c>
      <c r="L252" s="291"/>
      <c r="M252" s="293">
        <f t="shared" si="53"/>
        <v>1711.1912081000003</v>
      </c>
      <c r="N252" s="291"/>
      <c r="O252" s="293">
        <f t="shared" si="54"/>
        <v>1711.1912081000003</v>
      </c>
      <c r="P252" s="299"/>
      <c r="Q252" s="293">
        <f t="shared" si="55"/>
        <v>3422.3824162000005</v>
      </c>
      <c r="R252" s="143"/>
      <c r="S252" s="143"/>
      <c r="T252" s="143"/>
    </row>
    <row r="253" spans="9:20" ht="15.5" hidden="1" x14ac:dyDescent="0.35">
      <c r="I253" s="290" t="s">
        <v>160</v>
      </c>
      <c r="J253" s="294"/>
      <c r="K253" s="293">
        <f t="shared" si="52"/>
        <v>891.53061942010015</v>
      </c>
      <c r="L253" s="291"/>
      <c r="M253" s="293">
        <f t="shared" si="53"/>
        <v>1783.0612388402003</v>
      </c>
      <c r="N253" s="291"/>
      <c r="O253" s="293">
        <f t="shared" si="54"/>
        <v>1783.0612388402003</v>
      </c>
      <c r="P253" s="299"/>
      <c r="Q253" s="293">
        <f t="shared" si="55"/>
        <v>3566.1224776804006</v>
      </c>
      <c r="R253" s="143"/>
      <c r="S253" s="143"/>
      <c r="T253" s="143"/>
    </row>
    <row r="254" spans="9:20" ht="15.5" hidden="1" x14ac:dyDescent="0.35">
      <c r="I254" s="290" t="s">
        <v>216</v>
      </c>
      <c r="J254" s="294"/>
      <c r="K254" s="293">
        <f t="shared" si="52"/>
        <v>928.9749054357444</v>
      </c>
      <c r="L254" s="291"/>
      <c r="M254" s="293">
        <f t="shared" si="53"/>
        <v>1857.9498108714888</v>
      </c>
      <c r="N254" s="291"/>
      <c r="O254" s="293">
        <f t="shared" si="54"/>
        <v>1857.9498108714888</v>
      </c>
      <c r="P254" s="299"/>
      <c r="Q254" s="293">
        <f t="shared" si="55"/>
        <v>3715.8996217429776</v>
      </c>
      <c r="R254" s="143"/>
      <c r="S254" s="143"/>
      <c r="T254" s="143"/>
    </row>
    <row r="255" spans="9:20" ht="15.5" hidden="1" x14ac:dyDescent="0.35">
      <c r="I255" s="290" t="s">
        <v>223</v>
      </c>
      <c r="J255" s="294"/>
      <c r="K255" s="293">
        <f t="shared" si="52"/>
        <v>967.99185146404568</v>
      </c>
      <c r="L255" s="291"/>
      <c r="M255" s="293">
        <f t="shared" si="53"/>
        <v>1935.9837029280914</v>
      </c>
      <c r="N255" s="291"/>
      <c r="O255" s="293">
        <f t="shared" si="54"/>
        <v>1935.9837029280914</v>
      </c>
      <c r="P255" s="299"/>
      <c r="Q255" s="293">
        <f t="shared" si="55"/>
        <v>3871.9674058561827</v>
      </c>
      <c r="R255" s="143"/>
      <c r="S255" s="143"/>
      <c r="T255" s="143"/>
    </row>
    <row r="256" spans="9:20" ht="15.5" hidden="1" x14ac:dyDescent="0.35">
      <c r="I256" s="290" t="s">
        <v>233</v>
      </c>
      <c r="J256" s="301"/>
      <c r="K256" s="293">
        <f t="shared" si="52"/>
        <v>1008.6475092255356</v>
      </c>
      <c r="L256" s="302"/>
      <c r="M256" s="293">
        <f t="shared" si="53"/>
        <v>2017.2950184510712</v>
      </c>
      <c r="N256" s="302"/>
      <c r="O256" s="293">
        <f t="shared" si="54"/>
        <v>2017.2950184510712</v>
      </c>
      <c r="P256" s="303"/>
      <c r="Q256" s="293">
        <f t="shared" si="55"/>
        <v>4034.5900369021424</v>
      </c>
      <c r="R256" s="143"/>
      <c r="S256" s="143"/>
      <c r="T256" s="143"/>
    </row>
    <row r="257" spans="9:20" ht="15.5" hidden="1" x14ac:dyDescent="0.35">
      <c r="I257" s="290"/>
      <c r="J257" s="301"/>
      <c r="K257" s="293"/>
      <c r="L257" s="302"/>
      <c r="M257" s="293"/>
      <c r="N257" s="302"/>
      <c r="O257" s="293"/>
      <c r="P257" s="303"/>
      <c r="Q257" s="293"/>
      <c r="R257" s="143"/>
      <c r="S257" s="143"/>
      <c r="T257" s="143"/>
    </row>
    <row r="258" spans="9:20" ht="15.5" hidden="1" x14ac:dyDescent="0.35">
      <c r="I258" s="300" t="s">
        <v>227</v>
      </c>
      <c r="J258" s="300"/>
      <c r="K258" s="300"/>
      <c r="L258" s="300"/>
      <c r="M258" s="300"/>
      <c r="N258" s="300"/>
      <c r="O258" s="300"/>
      <c r="P258" s="300"/>
      <c r="Q258" s="300"/>
      <c r="R258" s="146"/>
      <c r="S258" s="146"/>
      <c r="T258" s="146"/>
    </row>
    <row r="259" spans="9:20" ht="15.5" hidden="1" x14ac:dyDescent="0.35">
      <c r="I259" s="294"/>
      <c r="J259" s="291"/>
      <c r="K259" s="295" t="s">
        <v>56</v>
      </c>
      <c r="L259" s="291"/>
      <c r="M259" s="295" t="s">
        <v>57</v>
      </c>
      <c r="N259" s="291"/>
      <c r="O259" s="295" t="s">
        <v>58</v>
      </c>
      <c r="P259" s="291"/>
      <c r="Q259" s="295" t="s">
        <v>59</v>
      </c>
      <c r="R259" s="146"/>
      <c r="S259" s="146"/>
      <c r="T259" s="146"/>
    </row>
    <row r="260" spans="9:20" ht="15.5" hidden="1" x14ac:dyDescent="0.35">
      <c r="I260" s="290"/>
      <c r="J260" s="291"/>
      <c r="K260" s="294"/>
      <c r="L260" s="294"/>
      <c r="M260" s="295"/>
      <c r="N260" s="291"/>
      <c r="O260" s="295"/>
      <c r="P260" s="291"/>
      <c r="Q260" s="295"/>
      <c r="R260" s="146"/>
      <c r="S260" s="146"/>
      <c r="T260" s="146"/>
    </row>
    <row r="261" spans="9:20" ht="15.5" hidden="1" x14ac:dyDescent="0.35">
      <c r="I261" s="290" t="s">
        <v>134</v>
      </c>
      <c r="J261" s="294"/>
      <c r="K261" s="292">
        <f>Q261/4</f>
        <v>1429.5</v>
      </c>
      <c r="L261" s="291"/>
      <c r="M261" s="292">
        <f>Q261/2</f>
        <v>2859</v>
      </c>
      <c r="N261" s="291"/>
      <c r="O261" s="292">
        <f>Q261/2</f>
        <v>2859</v>
      </c>
      <c r="P261" s="291"/>
      <c r="Q261" s="292">
        <v>5718</v>
      </c>
      <c r="R261" s="146"/>
      <c r="S261" s="146"/>
      <c r="T261" s="146"/>
    </row>
    <row r="262" spans="9:20" ht="15.5" hidden="1" x14ac:dyDescent="0.35">
      <c r="I262" s="290" t="s">
        <v>137</v>
      </c>
      <c r="J262" s="294"/>
      <c r="K262" s="293">
        <f>K261*$S$108</f>
        <v>1489.539</v>
      </c>
      <c r="L262" s="291"/>
      <c r="M262" s="293">
        <f>M261*$S$108</f>
        <v>2979.078</v>
      </c>
      <c r="N262" s="291"/>
      <c r="O262" s="293">
        <f>O261*$S$108</f>
        <v>2979.078</v>
      </c>
      <c r="P262" s="291"/>
      <c r="Q262" s="293">
        <f>Q261*$S$108</f>
        <v>5958.1559999999999</v>
      </c>
      <c r="R262" s="146"/>
      <c r="S262" s="146"/>
      <c r="T262" s="146"/>
    </row>
    <row r="263" spans="9:20" ht="15.5" hidden="1" x14ac:dyDescent="0.35">
      <c r="I263" s="290" t="s">
        <v>138</v>
      </c>
      <c r="J263" s="294"/>
      <c r="K263" s="293">
        <f t="shared" ref="K263:K268" si="56">K262*$S$108</f>
        <v>1552.0996380000001</v>
      </c>
      <c r="L263" s="291"/>
      <c r="M263" s="293">
        <f t="shared" ref="M263:M268" si="57">M262*$S$108</f>
        <v>3104.1992760000003</v>
      </c>
      <c r="N263" s="291"/>
      <c r="O263" s="293">
        <f t="shared" ref="O263:O268" si="58">O262*$S$108</f>
        <v>3104.1992760000003</v>
      </c>
      <c r="P263" s="291"/>
      <c r="Q263" s="293">
        <f t="shared" ref="Q263:Q268" si="59">Q262*$S$108</f>
        <v>6208.3985520000006</v>
      </c>
      <c r="R263" s="146"/>
      <c r="S263" s="146"/>
      <c r="T263" s="146"/>
    </row>
    <row r="264" spans="9:20" ht="15.5" hidden="1" x14ac:dyDescent="0.35">
      <c r="I264" s="290" t="s">
        <v>154</v>
      </c>
      <c r="J264" s="294"/>
      <c r="K264" s="293">
        <f t="shared" si="56"/>
        <v>1617.2878227960002</v>
      </c>
      <c r="L264" s="291"/>
      <c r="M264" s="293">
        <f t="shared" si="57"/>
        <v>3234.5756455920005</v>
      </c>
      <c r="N264" s="291"/>
      <c r="O264" s="293">
        <f t="shared" si="58"/>
        <v>3234.5756455920005</v>
      </c>
      <c r="P264" s="291"/>
      <c r="Q264" s="293">
        <f t="shared" si="59"/>
        <v>6469.1512911840009</v>
      </c>
      <c r="R264" s="146"/>
      <c r="S264" s="146"/>
      <c r="T264" s="146"/>
    </row>
    <row r="265" spans="9:20" ht="15.5" hidden="1" x14ac:dyDescent="0.35">
      <c r="I265" s="290" t="s">
        <v>158</v>
      </c>
      <c r="J265" s="294"/>
      <c r="K265" s="293">
        <f t="shared" si="56"/>
        <v>1685.2139113534322</v>
      </c>
      <c r="L265" s="291"/>
      <c r="M265" s="293">
        <f t="shared" si="57"/>
        <v>3370.4278227068644</v>
      </c>
      <c r="N265" s="291"/>
      <c r="O265" s="293">
        <f t="shared" si="58"/>
        <v>3370.4278227068644</v>
      </c>
      <c r="P265" s="291"/>
      <c r="Q265" s="293">
        <f t="shared" si="59"/>
        <v>6740.8556454137288</v>
      </c>
      <c r="R265" s="146"/>
      <c r="S265" s="146"/>
      <c r="T265" s="146"/>
    </row>
    <row r="266" spans="9:20" ht="15.5" hidden="1" x14ac:dyDescent="0.35">
      <c r="I266" s="290" t="s">
        <v>215</v>
      </c>
      <c r="J266" s="294"/>
      <c r="K266" s="293">
        <f t="shared" si="56"/>
        <v>1755.9928956302765</v>
      </c>
      <c r="L266" s="291"/>
      <c r="M266" s="293">
        <f t="shared" si="57"/>
        <v>3511.985791260553</v>
      </c>
      <c r="N266" s="291"/>
      <c r="O266" s="293">
        <f t="shared" si="58"/>
        <v>3511.985791260553</v>
      </c>
      <c r="P266" s="291"/>
      <c r="Q266" s="293">
        <f t="shared" si="59"/>
        <v>7023.971582521106</v>
      </c>
      <c r="R266" s="146"/>
      <c r="S266" s="146"/>
      <c r="T266" s="146"/>
    </row>
    <row r="267" spans="9:20" ht="15.5" hidden="1" x14ac:dyDescent="0.35">
      <c r="I267" s="290" t="s">
        <v>220</v>
      </c>
      <c r="J267" s="294"/>
      <c r="K267" s="293">
        <f t="shared" si="56"/>
        <v>1829.7445972467483</v>
      </c>
      <c r="L267" s="291"/>
      <c r="M267" s="293">
        <f t="shared" si="57"/>
        <v>3659.4891944934966</v>
      </c>
      <c r="N267" s="291"/>
      <c r="O267" s="293">
        <f t="shared" si="58"/>
        <v>3659.4891944934966</v>
      </c>
      <c r="P267" s="291"/>
      <c r="Q267" s="293">
        <f t="shared" si="59"/>
        <v>7318.9783889869932</v>
      </c>
      <c r="R267" s="146"/>
      <c r="S267" s="146"/>
      <c r="T267" s="146"/>
    </row>
    <row r="268" spans="9:20" ht="15.5" hidden="1" x14ac:dyDescent="0.35">
      <c r="I268" s="290" t="s">
        <v>231</v>
      </c>
      <c r="J268" s="294"/>
      <c r="K268" s="293">
        <f t="shared" si="56"/>
        <v>1906.5938703311117</v>
      </c>
      <c r="L268" s="291"/>
      <c r="M268" s="293">
        <f t="shared" si="57"/>
        <v>3813.1877406622234</v>
      </c>
      <c r="N268" s="291"/>
      <c r="O268" s="293">
        <f t="shared" si="58"/>
        <v>3813.1877406622234</v>
      </c>
      <c r="P268" s="291"/>
      <c r="Q268" s="293">
        <f t="shared" si="59"/>
        <v>7626.3754813244468</v>
      </c>
      <c r="R268" s="146"/>
      <c r="S268" s="146"/>
      <c r="T268" s="146"/>
    </row>
    <row r="269" spans="9:20" ht="15.5" hidden="1" x14ac:dyDescent="0.35">
      <c r="I269" s="290"/>
      <c r="J269" s="294"/>
      <c r="K269" s="293">
        <v>0</v>
      </c>
      <c r="L269" s="294"/>
      <c r="M269" s="295"/>
      <c r="N269" s="291"/>
      <c r="O269" s="293">
        <v>0</v>
      </c>
      <c r="P269" s="291"/>
      <c r="Q269" s="295"/>
      <c r="R269" s="146"/>
      <c r="S269" s="146"/>
      <c r="T269" s="146"/>
    </row>
    <row r="270" spans="9:20" ht="15.5" hidden="1" x14ac:dyDescent="0.35">
      <c r="I270" s="290" t="s">
        <v>139</v>
      </c>
      <c r="J270" s="294"/>
      <c r="K270" s="296">
        <f>Q270/4</f>
        <v>1429.5</v>
      </c>
      <c r="L270" s="297"/>
      <c r="M270" s="296">
        <f>Q270/2</f>
        <v>2859</v>
      </c>
      <c r="N270" s="297"/>
      <c r="O270" s="296">
        <f>Q270/2</f>
        <v>2859</v>
      </c>
      <c r="P270" s="297"/>
      <c r="Q270" s="296">
        <v>5718</v>
      </c>
      <c r="R270" s="146"/>
      <c r="S270" s="146"/>
      <c r="T270" s="146"/>
    </row>
    <row r="271" spans="9:20" ht="15.5" hidden="1" x14ac:dyDescent="0.35">
      <c r="I271" s="290" t="s">
        <v>140</v>
      </c>
      <c r="J271" s="294"/>
      <c r="K271" s="293">
        <f>M271/2</f>
        <v>1489.539</v>
      </c>
      <c r="L271" s="297"/>
      <c r="M271" s="293">
        <f>O271</f>
        <v>2979.078</v>
      </c>
      <c r="N271" s="297"/>
      <c r="O271" s="293">
        <f>Q271/2</f>
        <v>2979.078</v>
      </c>
      <c r="P271" s="297"/>
      <c r="Q271" s="293">
        <f>Q270*$S$108</f>
        <v>5958.1559999999999</v>
      </c>
      <c r="R271" s="146"/>
      <c r="S271" s="146"/>
      <c r="T271" s="146"/>
    </row>
    <row r="272" spans="9:20" ht="15.5" hidden="1" x14ac:dyDescent="0.35">
      <c r="I272" s="290" t="s">
        <v>151</v>
      </c>
      <c r="J272" s="294"/>
      <c r="K272" s="293">
        <f t="shared" ref="K272:K277" si="60">K271*$S$108</f>
        <v>1552.0996380000001</v>
      </c>
      <c r="L272" s="297"/>
      <c r="M272" s="293">
        <f t="shared" ref="M272:M277" si="61">M271*$S$108</f>
        <v>3104.1992760000003</v>
      </c>
      <c r="N272" s="297"/>
      <c r="O272" s="293">
        <f t="shared" ref="O272:O277" si="62">O271*$S$108</f>
        <v>3104.1992760000003</v>
      </c>
      <c r="P272" s="297"/>
      <c r="Q272" s="293">
        <f>Q271*$S$108</f>
        <v>6208.3985520000006</v>
      </c>
      <c r="R272" s="146"/>
      <c r="S272" s="146"/>
      <c r="T272" s="146"/>
    </row>
    <row r="273" spans="9:20" ht="15.5" hidden="1" x14ac:dyDescent="0.35">
      <c r="I273" s="290" t="s">
        <v>156</v>
      </c>
      <c r="J273" s="294"/>
      <c r="K273" s="293">
        <f t="shared" si="60"/>
        <v>1617.2878227960002</v>
      </c>
      <c r="L273" s="297"/>
      <c r="M273" s="293">
        <f t="shared" si="61"/>
        <v>3234.5756455920005</v>
      </c>
      <c r="N273" s="297"/>
      <c r="O273" s="293">
        <f t="shared" si="62"/>
        <v>3234.5756455920005</v>
      </c>
      <c r="P273" s="297"/>
      <c r="Q273" s="293">
        <f t="shared" ref="Q273:Q277" si="63">Q272*$S$108</f>
        <v>6469.1512911840009</v>
      </c>
      <c r="R273" s="146"/>
      <c r="S273" s="146"/>
      <c r="T273" s="146"/>
    </row>
    <row r="274" spans="9:20" ht="15.5" hidden="1" x14ac:dyDescent="0.35">
      <c r="I274" s="290" t="s">
        <v>159</v>
      </c>
      <c r="J274" s="294"/>
      <c r="K274" s="293">
        <f t="shared" si="60"/>
        <v>1685.2139113534322</v>
      </c>
      <c r="L274" s="297"/>
      <c r="M274" s="293">
        <f t="shared" si="61"/>
        <v>3370.4278227068644</v>
      </c>
      <c r="N274" s="297"/>
      <c r="O274" s="293">
        <f t="shared" si="62"/>
        <v>3370.4278227068644</v>
      </c>
      <c r="P274" s="297"/>
      <c r="Q274" s="293">
        <f t="shared" si="63"/>
        <v>6740.8556454137288</v>
      </c>
      <c r="R274" s="146"/>
      <c r="S274" s="146"/>
      <c r="T274" s="146"/>
    </row>
    <row r="275" spans="9:20" ht="15.5" hidden="1" x14ac:dyDescent="0.35">
      <c r="I275" s="290" t="s">
        <v>221</v>
      </c>
      <c r="J275" s="294"/>
      <c r="K275" s="293">
        <f t="shared" si="60"/>
        <v>1755.9928956302765</v>
      </c>
      <c r="L275" s="297"/>
      <c r="M275" s="293">
        <f t="shared" si="61"/>
        <v>3511.985791260553</v>
      </c>
      <c r="N275" s="297"/>
      <c r="O275" s="293">
        <f t="shared" si="62"/>
        <v>3511.985791260553</v>
      </c>
      <c r="P275" s="297"/>
      <c r="Q275" s="293">
        <f t="shared" si="63"/>
        <v>7023.971582521106</v>
      </c>
      <c r="R275" s="146"/>
      <c r="S275" s="146"/>
      <c r="T275" s="146"/>
    </row>
    <row r="276" spans="9:20" ht="15.5" hidden="1" x14ac:dyDescent="0.35">
      <c r="I276" s="290" t="s">
        <v>222</v>
      </c>
      <c r="J276" s="294"/>
      <c r="K276" s="293">
        <f t="shared" si="60"/>
        <v>1829.7445972467483</v>
      </c>
      <c r="L276" s="297"/>
      <c r="M276" s="293">
        <f t="shared" si="61"/>
        <v>3659.4891944934966</v>
      </c>
      <c r="N276" s="297"/>
      <c r="O276" s="293">
        <f t="shared" si="62"/>
        <v>3659.4891944934966</v>
      </c>
      <c r="P276" s="297"/>
      <c r="Q276" s="293">
        <f t="shared" si="63"/>
        <v>7318.9783889869932</v>
      </c>
      <c r="R276" s="146"/>
      <c r="S276" s="146"/>
      <c r="T276" s="146"/>
    </row>
    <row r="277" spans="9:20" ht="15.5" hidden="1" x14ac:dyDescent="0.35">
      <c r="I277" s="290" t="s">
        <v>232</v>
      </c>
      <c r="J277" s="294"/>
      <c r="K277" s="293">
        <f t="shared" si="60"/>
        <v>1906.5938703311117</v>
      </c>
      <c r="L277" s="297"/>
      <c r="M277" s="293">
        <f t="shared" si="61"/>
        <v>3813.1877406622234</v>
      </c>
      <c r="N277" s="297"/>
      <c r="O277" s="293">
        <f t="shared" si="62"/>
        <v>3813.1877406622234</v>
      </c>
      <c r="P277" s="297"/>
      <c r="Q277" s="293">
        <f t="shared" si="63"/>
        <v>7626.3754813244468</v>
      </c>
      <c r="R277" s="146"/>
      <c r="S277" s="146"/>
      <c r="T277" s="146"/>
    </row>
    <row r="278" spans="9:20" ht="15.5" hidden="1" x14ac:dyDescent="0.35">
      <c r="I278" s="290"/>
      <c r="J278" s="294"/>
      <c r="K278" s="293">
        <v>0</v>
      </c>
      <c r="L278" s="294"/>
      <c r="M278" s="295"/>
      <c r="N278" s="291"/>
      <c r="O278" s="293">
        <v>0</v>
      </c>
      <c r="P278" s="291"/>
      <c r="Q278" s="295"/>
      <c r="R278" s="146"/>
      <c r="S278" s="146"/>
      <c r="T278" s="146"/>
    </row>
    <row r="279" spans="9:20" ht="15.5" hidden="1" x14ac:dyDescent="0.35">
      <c r="I279" s="290" t="s">
        <v>135</v>
      </c>
      <c r="J279" s="294"/>
      <c r="K279" s="298">
        <f>Q279/4</f>
        <v>795</v>
      </c>
      <c r="L279" s="291"/>
      <c r="M279" s="298">
        <f>Q279/2</f>
        <v>1590</v>
      </c>
      <c r="N279" s="291"/>
      <c r="O279" s="298">
        <f>Q279/2</f>
        <v>1590</v>
      </c>
      <c r="P279" s="299"/>
      <c r="Q279" s="298">
        <v>3180</v>
      </c>
      <c r="R279" s="146"/>
      <c r="S279" s="146"/>
      <c r="T279" s="146"/>
    </row>
    <row r="280" spans="9:20" ht="15.5" hidden="1" x14ac:dyDescent="0.35">
      <c r="I280" s="290" t="s">
        <v>141</v>
      </c>
      <c r="J280" s="294"/>
      <c r="K280" s="293">
        <f>K279*$S$108</f>
        <v>828.39</v>
      </c>
      <c r="L280" s="291"/>
      <c r="M280" s="293">
        <f>M279*$S$108</f>
        <v>1656.78</v>
      </c>
      <c r="N280" s="291"/>
      <c r="O280" s="293">
        <f>O279*$S$108</f>
        <v>1656.78</v>
      </c>
      <c r="P280" s="299"/>
      <c r="Q280" s="293">
        <f>Q279*$S$108</f>
        <v>3313.56</v>
      </c>
      <c r="R280" s="146"/>
      <c r="S280" s="146"/>
      <c r="T280" s="146"/>
    </row>
    <row r="281" spans="9:20" ht="15.5" hidden="1" x14ac:dyDescent="0.35">
      <c r="I281" s="290" t="s">
        <v>142</v>
      </c>
      <c r="J281" s="294"/>
      <c r="K281" s="293">
        <f t="shared" ref="K281:K286" si="64">K280*$S$108</f>
        <v>863.18237999999997</v>
      </c>
      <c r="L281" s="291"/>
      <c r="M281" s="293">
        <f t="shared" ref="M281:M286" si="65">M280*$S$108</f>
        <v>1726.3647599999999</v>
      </c>
      <c r="N281" s="291"/>
      <c r="O281" s="293">
        <f t="shared" ref="O281:O286" si="66">O280*$S$108</f>
        <v>1726.3647599999999</v>
      </c>
      <c r="P281" s="299"/>
      <c r="Q281" s="293">
        <f t="shared" ref="Q281:Q286" si="67">Q280*$S$108</f>
        <v>3452.7295199999999</v>
      </c>
      <c r="R281" s="146"/>
      <c r="S281" s="146"/>
      <c r="T281" s="146"/>
    </row>
    <row r="282" spans="9:20" ht="15.5" hidden="1" x14ac:dyDescent="0.35">
      <c r="I282" s="290" t="s">
        <v>155</v>
      </c>
      <c r="J282" s="294"/>
      <c r="K282" s="293">
        <f t="shared" si="64"/>
        <v>899.43603996000002</v>
      </c>
      <c r="L282" s="291"/>
      <c r="M282" s="293">
        <f t="shared" si="65"/>
        <v>1798.87207992</v>
      </c>
      <c r="N282" s="291"/>
      <c r="O282" s="293">
        <f t="shared" si="66"/>
        <v>1798.87207992</v>
      </c>
      <c r="P282" s="299"/>
      <c r="Q282" s="293">
        <f t="shared" si="67"/>
        <v>3597.7441598400001</v>
      </c>
      <c r="R282" s="146"/>
      <c r="S282" s="146"/>
      <c r="T282" s="146"/>
    </row>
    <row r="283" spans="9:20" ht="15.5" hidden="1" x14ac:dyDescent="0.35">
      <c r="I283" s="290" t="s">
        <v>160</v>
      </c>
      <c r="J283" s="294"/>
      <c r="K283" s="293">
        <f t="shared" si="64"/>
        <v>937.21235363832</v>
      </c>
      <c r="L283" s="291"/>
      <c r="M283" s="293">
        <f t="shared" si="65"/>
        <v>1874.42470727664</v>
      </c>
      <c r="N283" s="291"/>
      <c r="O283" s="293">
        <f t="shared" si="66"/>
        <v>1874.42470727664</v>
      </c>
      <c r="P283" s="299"/>
      <c r="Q283" s="293">
        <f t="shared" si="67"/>
        <v>3748.84941455328</v>
      </c>
      <c r="R283" s="146"/>
      <c r="S283" s="146"/>
      <c r="T283" s="146"/>
    </row>
    <row r="284" spans="9:20" ht="15.5" hidden="1" x14ac:dyDescent="0.35">
      <c r="I284" s="290" t="s">
        <v>216</v>
      </c>
      <c r="J284" s="294"/>
      <c r="K284" s="293">
        <f t="shared" si="64"/>
        <v>976.57527249112945</v>
      </c>
      <c r="L284" s="291"/>
      <c r="M284" s="293">
        <f t="shared" si="65"/>
        <v>1953.1505449822589</v>
      </c>
      <c r="N284" s="291"/>
      <c r="O284" s="293">
        <f t="shared" si="66"/>
        <v>1953.1505449822589</v>
      </c>
      <c r="P284" s="299"/>
      <c r="Q284" s="293">
        <f t="shared" si="67"/>
        <v>3906.3010899645178</v>
      </c>
      <c r="R284" s="146"/>
      <c r="S284" s="146"/>
      <c r="T284" s="146"/>
    </row>
    <row r="285" spans="9:20" ht="15.5" hidden="1" x14ac:dyDescent="0.35">
      <c r="I285" s="290" t="s">
        <v>223</v>
      </c>
      <c r="J285" s="294"/>
      <c r="K285" s="293">
        <f t="shared" si="64"/>
        <v>1017.591433935757</v>
      </c>
      <c r="L285" s="291"/>
      <c r="M285" s="293">
        <f t="shared" si="65"/>
        <v>2035.182867871514</v>
      </c>
      <c r="N285" s="291"/>
      <c r="O285" s="293">
        <f t="shared" si="66"/>
        <v>2035.182867871514</v>
      </c>
      <c r="P285" s="299"/>
      <c r="Q285" s="293">
        <f t="shared" si="67"/>
        <v>4070.3657357430279</v>
      </c>
      <c r="R285" s="146"/>
      <c r="S285" s="146"/>
      <c r="T285" s="146"/>
    </row>
    <row r="286" spans="9:20" ht="15.5" hidden="1" x14ac:dyDescent="0.35">
      <c r="I286" s="290" t="s">
        <v>233</v>
      </c>
      <c r="J286" s="301"/>
      <c r="K286" s="293">
        <f t="shared" si="64"/>
        <v>1060.3302741610589</v>
      </c>
      <c r="L286" s="302"/>
      <c r="M286" s="293">
        <f t="shared" si="65"/>
        <v>2120.6605483221178</v>
      </c>
      <c r="N286" s="302"/>
      <c r="O286" s="293">
        <f t="shared" si="66"/>
        <v>2120.6605483221178</v>
      </c>
      <c r="P286" s="303"/>
      <c r="Q286" s="293">
        <f t="shared" si="67"/>
        <v>4241.3210966442357</v>
      </c>
      <c r="R286" s="285"/>
      <c r="S286" s="285"/>
      <c r="T286" s="146"/>
    </row>
    <row r="287" spans="9:20" hidden="1" x14ac:dyDescent="0.25"/>
    <row r="288" spans="9:20" hidden="1" x14ac:dyDescent="0.25"/>
  </sheetData>
  <sheetProtection selectLockedCells="1"/>
  <mergeCells count="67">
    <mergeCell ref="A101:A105"/>
    <mergeCell ref="C101:D101"/>
    <mergeCell ref="C103:D103"/>
    <mergeCell ref="C105:D105"/>
    <mergeCell ref="C88:F88"/>
    <mergeCell ref="C89:F89"/>
    <mergeCell ref="C90:F90"/>
    <mergeCell ref="C93:H93"/>
    <mergeCell ref="A95:A99"/>
    <mergeCell ref="C95:D95"/>
    <mergeCell ref="C97:D97"/>
    <mergeCell ref="C99:D99"/>
    <mergeCell ref="G88:H88"/>
    <mergeCell ref="C31:H31"/>
    <mergeCell ref="C6:F6"/>
    <mergeCell ref="C7:F7"/>
    <mergeCell ref="C8:F8"/>
    <mergeCell ref="C67:F67"/>
    <mergeCell ref="G46:H46"/>
    <mergeCell ref="G26:H26"/>
    <mergeCell ref="G6:H6"/>
    <mergeCell ref="G67:H67"/>
    <mergeCell ref="C3:I3"/>
    <mergeCell ref="C11:H11"/>
    <mergeCell ref="C26:F26"/>
    <mergeCell ref="C27:F27"/>
    <mergeCell ref="C28:F28"/>
    <mergeCell ref="A59:A63"/>
    <mergeCell ref="C59:D59"/>
    <mergeCell ref="C61:D61"/>
    <mergeCell ref="C63:D63"/>
    <mergeCell ref="C46:F46"/>
    <mergeCell ref="A53:A57"/>
    <mergeCell ref="C53:D53"/>
    <mergeCell ref="C55:D55"/>
    <mergeCell ref="C57:D57"/>
    <mergeCell ref="C47:F47"/>
    <mergeCell ref="C48:F48"/>
    <mergeCell ref="C51:H51"/>
    <mergeCell ref="A13:A17"/>
    <mergeCell ref="C13:D13"/>
    <mergeCell ref="C15:D15"/>
    <mergeCell ref="C17:D17"/>
    <mergeCell ref="A19:A23"/>
    <mergeCell ref="C19:D19"/>
    <mergeCell ref="C21:D21"/>
    <mergeCell ref="C23:D23"/>
    <mergeCell ref="A39:A43"/>
    <mergeCell ref="C39:D39"/>
    <mergeCell ref="C41:D41"/>
    <mergeCell ref="C43:D43"/>
    <mergeCell ref="A33:A37"/>
    <mergeCell ref="C33:D33"/>
    <mergeCell ref="C35:D35"/>
    <mergeCell ref="C37:D37"/>
    <mergeCell ref="C68:F68"/>
    <mergeCell ref="C69:F69"/>
    <mergeCell ref="C72:H72"/>
    <mergeCell ref="A74:A78"/>
    <mergeCell ref="C74:D74"/>
    <mergeCell ref="C76:D76"/>
    <mergeCell ref="C78:D78"/>
    <mergeCell ref="A80:A84"/>
    <mergeCell ref="C80:D80"/>
    <mergeCell ref="C82:D82"/>
    <mergeCell ref="C84:D84"/>
    <mergeCell ref="A85:I86"/>
  </mergeCells>
  <dataValidations count="6">
    <dataValidation type="list" allowBlank="1" showInputMessage="1" showErrorMessage="1" sqref="K15 M15 O15 Q15 S15 K21 M21 O21 Q21 S21 K35 M35 O35 Q35 S35 K41 M41 O41 Q41 S41 K55 M55 O55 Q55 S55 K61 M61 O61 Q61 S61 K76 M76 O76 Q76 S76 K82 M82 O82 Q82 S82 K97 M97 O97 Q97 S97 K103 M103 O103 Q103 S103" xr:uid="{00000000-0002-0000-0300-000000000000}">
      <formula1>$I$111:$I$118</formula1>
    </dataValidation>
    <dataValidation type="list" allowBlank="1" showInputMessage="1" showErrorMessage="1" sqref="K13 M13 O13 Q13 S13 K33 M33 O33 Q33 S33 K53 M53 O53 Q53 S53 K74 M74 O74 Q74 S74 K95 M95 O95 Q95 S95" xr:uid="{00000000-0002-0000-0300-000001000000}">
      <formula1>$I$129:$I$136</formula1>
    </dataValidation>
    <dataValidation type="list" allowBlank="1" showInputMessage="1" showErrorMessage="1" sqref="K30 S92 M92 Q92 O92 K92 S50 M50 Q50 O50 K50 S30 Q10:Q11 M10:M11 M30 Q30 O30 K10:K11 S10:S11 O10:O11 S71 M71 Q71 O71 K71" xr:uid="{00000000-0002-0000-0300-000002000000}">
      <formula1>$I$120:$I$125</formula1>
    </dataValidation>
    <dataValidation type="list" allowBlank="1" showInputMessage="1" showErrorMessage="1" sqref="I6 I88 I46 I26 I67" xr:uid="{00000000-0002-0000-0300-000003000000}">
      <formula1>$S$109:$S$110</formula1>
    </dataValidation>
    <dataValidation type="list" allowBlank="1" showInputMessage="1" showErrorMessage="1" sqref="S19 Q19 O19 M19 K19 S39 Q39 O39 M39 K39 S59 Q59 O59 M59 K59 S80 Q80 O80 M80 K80 S101 Q101 O101 M101 K101" xr:uid="{00000000-0002-0000-0300-000004000000}">
      <formula1>$I$128:$I$136</formula1>
    </dataValidation>
    <dataValidation type="list" allowBlank="1" showInputMessage="1" showErrorMessage="1" sqref="K17 S23 Q23 O23 M23 K23 S17 Q17 O17 M17 K37 S43 Q43 O43 M43 K43 S37 Q37 O37 M37 K57 S63 Q63 O63 M63 K63 S57 Q57 O57 M57 K78 S84 Q84 O84 M84 K84 S78 Q78 O78 M78 K99 S105 Q105 O105 M105 K105 S99 Q99 O99 M99" xr:uid="{00000000-0002-0000-0300-000005000000}">
      <formula1>$I$120:$I$127</formula1>
    </dataValidation>
  </dataValidations>
  <pageMargins left="0.25" right="0.25" top="1" bottom="1" header="0.5" footer="0.5"/>
  <pageSetup scale="53" orientation="landscape"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55"/>
  <sheetViews>
    <sheetView workbookViewId="0">
      <selection activeCell="E48" sqref="E48"/>
    </sheetView>
  </sheetViews>
  <sheetFormatPr defaultRowHeight="12.5" x14ac:dyDescent="0.25"/>
  <cols>
    <col min="1" max="1" width="4.81640625" bestFit="1" customWidth="1"/>
    <col min="2" max="2" width="10.54296875" bestFit="1" customWidth="1"/>
    <col min="4" max="4" width="7.453125" bestFit="1" customWidth="1"/>
    <col min="5" max="5" width="7.81640625" bestFit="1" customWidth="1"/>
    <col min="6" max="6" width="8.1796875" bestFit="1" customWidth="1"/>
    <col min="7" max="7" width="8.26953125" bestFit="1" customWidth="1"/>
    <col min="8" max="8" width="6.54296875" bestFit="1" customWidth="1"/>
    <col min="9" max="9" width="8.1796875" bestFit="1" customWidth="1"/>
    <col min="10" max="10" width="5.81640625" bestFit="1" customWidth="1"/>
    <col min="11" max="11" width="13.81640625" bestFit="1" customWidth="1"/>
    <col min="12" max="12" width="11.54296875" bestFit="1" customWidth="1"/>
    <col min="13" max="13" width="7.81640625" bestFit="1" customWidth="1"/>
    <col min="14" max="14" width="3.1796875" customWidth="1"/>
  </cols>
  <sheetData>
    <row r="1" spans="1:15" s="142" customFormat="1" ht="13" thickBot="1" x14ac:dyDescent="0.3"/>
    <row r="2" spans="1:15" s="142" customFormat="1" ht="15.5" x14ac:dyDescent="0.35">
      <c r="A2" s="597" t="s">
        <v>277</v>
      </c>
      <c r="B2" s="598"/>
      <c r="C2" s="598"/>
      <c r="D2" s="598"/>
      <c r="E2" s="598"/>
      <c r="F2" s="598"/>
      <c r="G2" s="598"/>
      <c r="H2" s="598"/>
      <c r="I2" s="598"/>
      <c r="J2" s="598"/>
      <c r="K2" s="598"/>
      <c r="L2" s="598"/>
      <c r="M2" s="599"/>
    </row>
    <row r="3" spans="1:15" s="142" customFormat="1" ht="16" thickBot="1" x14ac:dyDescent="0.4">
      <c r="A3" s="600" t="s">
        <v>278</v>
      </c>
      <c r="B3" s="601"/>
      <c r="C3" s="601"/>
      <c r="D3" s="601"/>
      <c r="E3" s="601"/>
      <c r="F3" s="601"/>
      <c r="G3" s="601"/>
      <c r="H3" s="601"/>
      <c r="I3" s="601"/>
      <c r="J3" s="601"/>
      <c r="K3" s="601"/>
      <c r="L3" s="601"/>
      <c r="M3" s="602"/>
    </row>
    <row r="4" spans="1:15" s="142" customFormat="1" ht="13" thickBot="1" x14ac:dyDescent="0.3"/>
    <row r="5" spans="1:15" ht="15" thickTop="1" thickBot="1" x14ac:dyDescent="0.3">
      <c r="A5" s="603" t="s">
        <v>254</v>
      </c>
      <c r="B5" s="604"/>
      <c r="C5" s="604"/>
      <c r="D5" s="604"/>
      <c r="E5" s="604"/>
      <c r="F5" s="604"/>
      <c r="G5" s="604"/>
      <c r="H5" s="604"/>
      <c r="I5" s="604"/>
      <c r="J5" s="604"/>
      <c r="K5" s="604"/>
      <c r="L5" s="604"/>
      <c r="M5" s="604"/>
    </row>
    <row r="6" spans="1:15" ht="15" thickTop="1" thickBot="1" x14ac:dyDescent="0.3">
      <c r="A6" s="344"/>
      <c r="B6" s="345"/>
      <c r="C6" s="345"/>
      <c r="D6" s="345"/>
      <c r="E6" s="605" t="s">
        <v>255</v>
      </c>
      <c r="F6" s="605"/>
      <c r="G6" s="605"/>
      <c r="H6" s="605" t="s">
        <v>256</v>
      </c>
      <c r="I6" s="605"/>
      <c r="J6" s="605"/>
      <c r="K6" s="345"/>
      <c r="L6" s="345"/>
      <c r="M6" s="345"/>
    </row>
    <row r="7" spans="1:15" ht="43" thickTop="1" thickBot="1" x14ac:dyDescent="0.3">
      <c r="A7" s="411" t="s">
        <v>257</v>
      </c>
      <c r="B7" s="412" t="s">
        <v>258</v>
      </c>
      <c r="C7" s="412" t="s">
        <v>259</v>
      </c>
      <c r="D7" s="413" t="s">
        <v>260</v>
      </c>
      <c r="E7" s="412" t="s">
        <v>261</v>
      </c>
      <c r="F7" s="412" t="s">
        <v>274</v>
      </c>
      <c r="G7" s="414" t="s">
        <v>262</v>
      </c>
      <c r="H7" s="412" t="s">
        <v>263</v>
      </c>
      <c r="I7" s="412" t="s">
        <v>264</v>
      </c>
      <c r="J7" s="414" t="s">
        <v>265</v>
      </c>
      <c r="K7" s="412" t="s">
        <v>273</v>
      </c>
      <c r="L7" s="413" t="s">
        <v>266</v>
      </c>
      <c r="M7" s="415" t="s">
        <v>267</v>
      </c>
      <c r="O7" s="342"/>
    </row>
    <row r="8" spans="1:15" ht="14.5" thickTop="1" x14ac:dyDescent="0.25">
      <c r="A8" s="349">
        <v>1</v>
      </c>
      <c r="B8" s="350"/>
      <c r="C8" s="346">
        <v>0</v>
      </c>
      <c r="D8" s="347">
        <v>400</v>
      </c>
      <c r="E8" s="346">
        <v>0</v>
      </c>
      <c r="F8" s="351">
        <v>100</v>
      </c>
      <c r="G8" s="348">
        <f>ROUND(+E8*F8,)</f>
        <v>0</v>
      </c>
      <c r="H8" s="346">
        <v>3</v>
      </c>
      <c r="I8" s="347">
        <v>40</v>
      </c>
      <c r="J8" s="348">
        <f>+H8*I8</f>
        <v>120</v>
      </c>
      <c r="K8" s="347">
        <v>100</v>
      </c>
      <c r="L8" s="347">
        <v>300</v>
      </c>
      <c r="M8" s="352">
        <f>ROUND(C8*SUM(D8,G8,J8,L8,K8),)</f>
        <v>0</v>
      </c>
      <c r="O8" s="460"/>
    </row>
    <row r="9" spans="1:15" ht="14" x14ac:dyDescent="0.25">
      <c r="A9" s="353">
        <v>1</v>
      </c>
      <c r="B9" s="354"/>
      <c r="C9" s="355">
        <v>0</v>
      </c>
      <c r="D9" s="356">
        <v>0</v>
      </c>
      <c r="E9" s="355">
        <v>0</v>
      </c>
      <c r="F9" s="356">
        <v>0</v>
      </c>
      <c r="G9" s="416">
        <f>ROUND(+E9*F9,)</f>
        <v>0</v>
      </c>
      <c r="H9" s="355">
        <f>+E9+1</f>
        <v>1</v>
      </c>
      <c r="I9" s="356">
        <v>40</v>
      </c>
      <c r="J9" s="357">
        <f>+H9*I9</f>
        <v>40</v>
      </c>
      <c r="K9" s="356">
        <v>0</v>
      </c>
      <c r="L9" s="356">
        <v>0</v>
      </c>
      <c r="M9" s="358">
        <f>ROUND(C9*SUM(D9,G9,J9,L9,K9),)</f>
        <v>0</v>
      </c>
    </row>
    <row r="10" spans="1:15" ht="14" x14ac:dyDescent="0.25">
      <c r="A10" s="353">
        <v>1</v>
      </c>
      <c r="B10" s="354"/>
      <c r="C10" s="355">
        <v>0</v>
      </c>
      <c r="D10" s="356">
        <v>0</v>
      </c>
      <c r="E10" s="355">
        <v>0</v>
      </c>
      <c r="F10" s="356">
        <v>0</v>
      </c>
      <c r="G10" s="416">
        <f>ROUND(+E10*F10,)</f>
        <v>0</v>
      </c>
      <c r="H10" s="355">
        <f>+E10+1</f>
        <v>1</v>
      </c>
      <c r="I10" s="356">
        <v>40</v>
      </c>
      <c r="J10" s="357">
        <f>+H10*I10</f>
        <v>40</v>
      </c>
      <c r="K10" s="356">
        <v>0</v>
      </c>
      <c r="L10" s="356">
        <v>0</v>
      </c>
      <c r="M10" s="358">
        <f>C10*SUM(D10,G10,J10,L10,K10)</f>
        <v>0</v>
      </c>
    </row>
    <row r="11" spans="1:15" ht="14.5" thickBot="1" x14ac:dyDescent="0.3">
      <c r="A11" s="404"/>
      <c r="B11" s="405"/>
      <c r="C11" s="406"/>
      <c r="D11" s="407"/>
      <c r="E11" s="406"/>
      <c r="F11" s="407"/>
      <c r="G11" s="408"/>
      <c r="H11" s="406"/>
      <c r="I11" s="407"/>
      <c r="J11" s="408"/>
      <c r="K11" s="407"/>
      <c r="L11" s="409" t="s">
        <v>268</v>
      </c>
      <c r="M11" s="410">
        <f>ROUND(SUM(M8:M10),0)</f>
        <v>0</v>
      </c>
    </row>
    <row r="12" spans="1:15" ht="14.5" thickTop="1" x14ac:dyDescent="0.25">
      <c r="A12" s="349">
        <v>2</v>
      </c>
      <c r="B12" s="350"/>
      <c r="C12" s="346">
        <v>2</v>
      </c>
      <c r="D12" s="347">
        <f>ROUND(+D8*1.03,)</f>
        <v>412</v>
      </c>
      <c r="E12" s="346">
        <v>4</v>
      </c>
      <c r="F12" s="351">
        <f>ROUND(+F8*1.03,)</f>
        <v>103</v>
      </c>
      <c r="G12" s="348">
        <f>ROUND(+E12*F12,)</f>
        <v>412</v>
      </c>
      <c r="H12" s="346">
        <f>+E12+1</f>
        <v>5</v>
      </c>
      <c r="I12" s="347">
        <v>40</v>
      </c>
      <c r="J12" s="348">
        <f>+H12*I12</f>
        <v>200</v>
      </c>
      <c r="K12" s="347">
        <v>0</v>
      </c>
      <c r="L12" s="347">
        <v>0</v>
      </c>
      <c r="M12" s="352">
        <f>ROUND(C12*SUM(D12,G12,J12,L12,K12),)</f>
        <v>2048</v>
      </c>
    </row>
    <row r="13" spans="1:15" ht="14" x14ac:dyDescent="0.25">
      <c r="A13" s="353">
        <v>2</v>
      </c>
      <c r="B13" s="354"/>
      <c r="C13" s="355">
        <v>0</v>
      </c>
      <c r="D13" s="356">
        <f>ROUND(+D9*1.03,)</f>
        <v>0</v>
      </c>
      <c r="E13" s="355">
        <v>0</v>
      </c>
      <c r="F13" s="356">
        <f>ROUND(+F9*1.03,)</f>
        <v>0</v>
      </c>
      <c r="G13" s="357">
        <f>ROUND(+E13*F13,)</f>
        <v>0</v>
      </c>
      <c r="H13" s="355">
        <f>+E13+1</f>
        <v>1</v>
      </c>
      <c r="I13" s="356">
        <v>40</v>
      </c>
      <c r="J13" s="357">
        <f>+H13*I13</f>
        <v>40</v>
      </c>
      <c r="K13" s="356">
        <v>0</v>
      </c>
      <c r="L13" s="356">
        <v>0</v>
      </c>
      <c r="M13" s="358">
        <f>ROUND(C13*SUM(D13,G13,J13,L13,K13),)</f>
        <v>0</v>
      </c>
    </row>
    <row r="14" spans="1:15" ht="14" x14ac:dyDescent="0.25">
      <c r="A14" s="359">
        <v>2</v>
      </c>
      <c r="B14" s="360"/>
      <c r="C14" s="361">
        <v>0</v>
      </c>
      <c r="D14" s="362">
        <f>ROUND(+D10*1.03,)</f>
        <v>0</v>
      </c>
      <c r="E14" s="361">
        <v>0</v>
      </c>
      <c r="F14" s="362">
        <f>ROUND(+F10*1.03,)</f>
        <v>0</v>
      </c>
      <c r="G14" s="363">
        <f>ROUND(+E14*F14,)</f>
        <v>0</v>
      </c>
      <c r="H14" s="361">
        <f>+E14+1</f>
        <v>1</v>
      </c>
      <c r="I14" s="362">
        <v>40</v>
      </c>
      <c r="J14" s="363">
        <f>+H14*I14</f>
        <v>40</v>
      </c>
      <c r="K14" s="362">
        <v>0</v>
      </c>
      <c r="L14" s="362">
        <v>0</v>
      </c>
      <c r="M14" s="364">
        <f>ROUND(C14*SUM(D14,G14,J14,L14,K14),)</f>
        <v>0</v>
      </c>
    </row>
    <row r="15" spans="1:15" ht="14.5" thickBot="1" x14ac:dyDescent="0.3">
      <c r="A15" s="365"/>
      <c r="B15" s="366"/>
      <c r="C15" s="367"/>
      <c r="D15" s="368"/>
      <c r="E15" s="367"/>
      <c r="F15" s="368"/>
      <c r="G15" s="369"/>
      <c r="H15" s="367"/>
      <c r="I15" s="368"/>
      <c r="J15" s="369"/>
      <c r="K15" s="368"/>
      <c r="L15" s="370" t="s">
        <v>269</v>
      </c>
      <c r="M15" s="371">
        <f>ROUND(SUM(M12:M14),0)</f>
        <v>2048</v>
      </c>
    </row>
    <row r="16" spans="1:15" ht="14.5" thickTop="1" x14ac:dyDescent="0.25">
      <c r="A16" s="349">
        <v>3</v>
      </c>
      <c r="B16" s="350"/>
      <c r="C16" s="346">
        <v>2</v>
      </c>
      <c r="D16" s="347">
        <f>ROUND(+D12*1.03,)</f>
        <v>424</v>
      </c>
      <c r="E16" s="346">
        <v>4</v>
      </c>
      <c r="F16" s="347">
        <f>ROUND(+F12*1.03,)</f>
        <v>106</v>
      </c>
      <c r="G16" s="348">
        <f>ROUND(+E16*F16,)</f>
        <v>424</v>
      </c>
      <c r="H16" s="346">
        <f>+E16+1</f>
        <v>5</v>
      </c>
      <c r="I16" s="347">
        <v>40</v>
      </c>
      <c r="J16" s="348">
        <f>+H16*I16</f>
        <v>200</v>
      </c>
      <c r="K16" s="347">
        <v>0</v>
      </c>
      <c r="L16" s="347">
        <v>0</v>
      </c>
      <c r="M16" s="352">
        <f>ROUND(C16*SUM(D16,G16,J16,L16,K16),)</f>
        <v>2096</v>
      </c>
    </row>
    <row r="17" spans="1:13" ht="14" x14ac:dyDescent="0.25">
      <c r="A17" s="353">
        <v>3</v>
      </c>
      <c r="B17" s="354"/>
      <c r="C17" s="355">
        <v>0</v>
      </c>
      <c r="D17" s="356">
        <f>ROUND(+D13*1.03,)</f>
        <v>0</v>
      </c>
      <c r="E17" s="355">
        <v>0</v>
      </c>
      <c r="F17" s="356">
        <f>ROUND(+F13*1.03,)</f>
        <v>0</v>
      </c>
      <c r="G17" s="357">
        <f>ROUND(+E17*F17,)</f>
        <v>0</v>
      </c>
      <c r="H17" s="355">
        <f>+E17+1</f>
        <v>1</v>
      </c>
      <c r="I17" s="356">
        <v>40</v>
      </c>
      <c r="J17" s="357">
        <f>+H17*I17</f>
        <v>40</v>
      </c>
      <c r="K17" s="356">
        <v>0</v>
      </c>
      <c r="L17" s="356">
        <v>0</v>
      </c>
      <c r="M17" s="358">
        <f>ROUND(C17*SUM(D17,G17,J17,L17,K17),)</f>
        <v>0</v>
      </c>
    </row>
    <row r="18" spans="1:13" ht="14" x14ac:dyDescent="0.25">
      <c r="A18" s="359">
        <v>3</v>
      </c>
      <c r="B18" s="360"/>
      <c r="C18" s="361">
        <v>0</v>
      </c>
      <c r="D18" s="362">
        <f>ROUND(+D14*1.03,)</f>
        <v>0</v>
      </c>
      <c r="E18" s="361">
        <v>0</v>
      </c>
      <c r="F18" s="362">
        <f>ROUND(+F14*1.03,)</f>
        <v>0</v>
      </c>
      <c r="G18" s="363">
        <f>ROUND(+E18*F18,)</f>
        <v>0</v>
      </c>
      <c r="H18" s="361">
        <f>+E18+1</f>
        <v>1</v>
      </c>
      <c r="I18" s="362">
        <v>40</v>
      </c>
      <c r="J18" s="363">
        <f>+H18*I18</f>
        <v>40</v>
      </c>
      <c r="K18" s="362">
        <v>0</v>
      </c>
      <c r="L18" s="362">
        <v>0</v>
      </c>
      <c r="M18" s="364">
        <f>ROUND(C18*SUM(D18,G18,J18,L18,K18),)</f>
        <v>0</v>
      </c>
    </row>
    <row r="19" spans="1:13" ht="14.5" thickBot="1" x14ac:dyDescent="0.3">
      <c r="A19" s="372"/>
      <c r="B19" s="373"/>
      <c r="C19" s="374"/>
      <c r="D19" s="375"/>
      <c r="E19" s="374"/>
      <c r="F19" s="375"/>
      <c r="G19" s="376"/>
      <c r="H19" s="374"/>
      <c r="I19" s="375"/>
      <c r="J19" s="376"/>
      <c r="K19" s="402"/>
      <c r="L19" s="377" t="s">
        <v>270</v>
      </c>
      <c r="M19" s="378">
        <f>ROUND(SUM(M16:M18),0)</f>
        <v>2096</v>
      </c>
    </row>
    <row r="20" spans="1:13" ht="14.5" thickTop="1" x14ac:dyDescent="0.25">
      <c r="A20" s="379">
        <v>4</v>
      </c>
      <c r="B20" s="380"/>
      <c r="C20" s="381">
        <v>2</v>
      </c>
      <c r="D20" s="382">
        <f>ROUND(+D16*1.03,)</f>
        <v>437</v>
      </c>
      <c r="E20" s="381">
        <v>4</v>
      </c>
      <c r="F20" s="382">
        <f>ROUND(+F16*1.03,)</f>
        <v>109</v>
      </c>
      <c r="G20" s="383">
        <f>ROUND(+E20*F20,)</f>
        <v>436</v>
      </c>
      <c r="H20" s="384">
        <f>+E20+1</f>
        <v>5</v>
      </c>
      <c r="I20" s="382">
        <v>40</v>
      </c>
      <c r="J20" s="400">
        <f>+H20*I20</f>
        <v>200</v>
      </c>
      <c r="K20" s="400">
        <v>0</v>
      </c>
      <c r="L20" s="400">
        <v>0</v>
      </c>
      <c r="M20" s="385">
        <f>ROUND(C20*SUM(D20,G20,J20,L20,K20),)</f>
        <v>2146</v>
      </c>
    </row>
    <row r="21" spans="1:13" ht="14" x14ac:dyDescent="0.25">
      <c r="A21" s="353">
        <v>4</v>
      </c>
      <c r="B21" s="354"/>
      <c r="C21" s="355">
        <v>0</v>
      </c>
      <c r="D21" s="356">
        <f>ROUND(+D17*1.03,)</f>
        <v>0</v>
      </c>
      <c r="E21" s="355">
        <v>0</v>
      </c>
      <c r="F21" s="356">
        <f>ROUND(+F17*1.03,)</f>
        <v>0</v>
      </c>
      <c r="G21" s="357">
        <f>ROUND(+E21*F21,)</f>
        <v>0</v>
      </c>
      <c r="H21" s="355">
        <f>+E21+1</f>
        <v>1</v>
      </c>
      <c r="I21" s="356">
        <v>40</v>
      </c>
      <c r="J21" s="401">
        <f>+H21*I21</f>
        <v>40</v>
      </c>
      <c r="K21" s="401">
        <v>0</v>
      </c>
      <c r="L21" s="401">
        <v>0</v>
      </c>
      <c r="M21" s="358">
        <f>ROUND(C21*SUM(D21,G21,J21,L21,K21),)</f>
        <v>0</v>
      </c>
    </row>
    <row r="22" spans="1:13" ht="14" x14ac:dyDescent="0.25">
      <c r="A22" s="359">
        <v>4</v>
      </c>
      <c r="B22" s="360"/>
      <c r="C22" s="361">
        <v>0</v>
      </c>
      <c r="D22" s="362">
        <f>ROUND(+D18*1.03,)</f>
        <v>0</v>
      </c>
      <c r="E22" s="361">
        <v>0</v>
      </c>
      <c r="F22" s="362">
        <f>ROUND(+F18*1.03,)</f>
        <v>0</v>
      </c>
      <c r="G22" s="363">
        <f>ROUND(+E22*F22,)</f>
        <v>0</v>
      </c>
      <c r="H22" s="361">
        <f>+E22+1</f>
        <v>1</v>
      </c>
      <c r="I22" s="362">
        <v>40</v>
      </c>
      <c r="J22" s="363">
        <f>+H22*I22</f>
        <v>40</v>
      </c>
      <c r="K22" s="403">
        <v>0</v>
      </c>
      <c r="L22" s="362">
        <v>0</v>
      </c>
      <c r="M22" s="364">
        <f>ROUND(C22*SUM(D22,G22,J22,L22,K22),)</f>
        <v>0</v>
      </c>
    </row>
    <row r="23" spans="1:13" ht="14.5" thickBot="1" x14ac:dyDescent="0.3">
      <c r="A23" s="386"/>
      <c r="B23" s="387"/>
      <c r="C23" s="388"/>
      <c r="D23" s="389"/>
      <c r="E23" s="388"/>
      <c r="F23" s="389"/>
      <c r="G23" s="390"/>
      <c r="H23" s="388"/>
      <c r="I23" s="389"/>
      <c r="J23" s="390"/>
      <c r="K23" s="389"/>
      <c r="L23" s="391" t="s">
        <v>271</v>
      </c>
      <c r="M23" s="392">
        <f>ROUND(SUM(M20:M22),0)</f>
        <v>2146</v>
      </c>
    </row>
    <row r="24" spans="1:13" ht="14.5" thickTop="1" x14ac:dyDescent="0.25">
      <c r="A24" s="349">
        <v>5</v>
      </c>
      <c r="B24" s="350"/>
      <c r="C24" s="346">
        <v>0</v>
      </c>
      <c r="D24" s="347">
        <f>ROUND(+D20*1.03,)</f>
        <v>450</v>
      </c>
      <c r="E24" s="346">
        <v>0</v>
      </c>
      <c r="F24" s="347">
        <f>ROUND(+F20*1.03,)</f>
        <v>112</v>
      </c>
      <c r="G24" s="348">
        <f>ROUND(+E24*F24,)</f>
        <v>0</v>
      </c>
      <c r="H24" s="346">
        <f>+E24+1</f>
        <v>1</v>
      </c>
      <c r="I24" s="347">
        <v>40</v>
      </c>
      <c r="J24" s="348">
        <f>+H24*I24</f>
        <v>40</v>
      </c>
      <c r="K24" s="347">
        <v>0</v>
      </c>
      <c r="L24" s="347">
        <v>0</v>
      </c>
      <c r="M24" s="352">
        <f>ROUND(C24*SUM(D24,G24,J24,L24,K24),)</f>
        <v>0</v>
      </c>
    </row>
    <row r="25" spans="1:13" ht="14" x14ac:dyDescent="0.25">
      <c r="A25" s="353">
        <v>5</v>
      </c>
      <c r="B25" s="354"/>
      <c r="C25" s="355">
        <v>0</v>
      </c>
      <c r="D25" s="356">
        <f>ROUND(+D21*1.03,)</f>
        <v>0</v>
      </c>
      <c r="E25" s="355">
        <v>0</v>
      </c>
      <c r="F25" s="356">
        <f>ROUND(+F21*1.03,)</f>
        <v>0</v>
      </c>
      <c r="G25" s="357">
        <f>ROUND(+E25*F25,)</f>
        <v>0</v>
      </c>
      <c r="H25" s="355">
        <f>+E25+1</f>
        <v>1</v>
      </c>
      <c r="I25" s="356">
        <v>40</v>
      </c>
      <c r="J25" s="357">
        <f>+H25*I25</f>
        <v>40</v>
      </c>
      <c r="K25" s="356">
        <v>0</v>
      </c>
      <c r="L25" s="356">
        <v>0</v>
      </c>
      <c r="M25" s="358">
        <f>ROUND(C25*SUM(D25,G25,J25,L25,K25),)</f>
        <v>0</v>
      </c>
    </row>
    <row r="26" spans="1:13" ht="14" x14ac:dyDescent="0.25">
      <c r="A26" s="359">
        <v>5</v>
      </c>
      <c r="B26" s="360"/>
      <c r="C26" s="361">
        <v>0</v>
      </c>
      <c r="D26" s="362">
        <f>ROUND(+D22*1.03,)</f>
        <v>0</v>
      </c>
      <c r="E26" s="361">
        <v>0</v>
      </c>
      <c r="F26" s="362">
        <f>ROUND(+F22*1.03,)</f>
        <v>0</v>
      </c>
      <c r="G26" s="363">
        <f>ROUND(+E26*F26,)</f>
        <v>0</v>
      </c>
      <c r="H26" s="361">
        <f>+E26+1</f>
        <v>1</v>
      </c>
      <c r="I26" s="362">
        <v>40</v>
      </c>
      <c r="J26" s="363">
        <f>+H26*I26</f>
        <v>40</v>
      </c>
      <c r="K26" s="362">
        <v>0</v>
      </c>
      <c r="L26" s="362">
        <v>0</v>
      </c>
      <c r="M26" s="364">
        <f>ROUND(C26*SUM(D26,G26,J26,L26,K26),)</f>
        <v>0</v>
      </c>
    </row>
    <row r="27" spans="1:13" ht="14.5" thickBot="1" x14ac:dyDescent="0.3">
      <c r="A27" s="393"/>
      <c r="B27" s="394"/>
      <c r="C27" s="395"/>
      <c r="D27" s="396"/>
      <c r="E27" s="395"/>
      <c r="F27" s="395"/>
      <c r="G27" s="396"/>
      <c r="H27" s="395"/>
      <c r="I27" s="397"/>
      <c r="J27" s="397"/>
      <c r="K27" s="397"/>
      <c r="L27" s="398" t="s">
        <v>272</v>
      </c>
      <c r="M27" s="399">
        <f>ROUND(SUM(M24:M26),0)</f>
        <v>0</v>
      </c>
    </row>
    <row r="28" spans="1:13" ht="13" thickTop="1" x14ac:dyDescent="0.25"/>
    <row r="29" spans="1:13" s="142" customFormat="1" ht="13" thickBot="1" x14ac:dyDescent="0.3"/>
    <row r="30" spans="1:13" s="142" customFormat="1" ht="16" thickBot="1" x14ac:dyDescent="0.4">
      <c r="A30" s="594" t="s">
        <v>276</v>
      </c>
      <c r="B30" s="595"/>
      <c r="C30" s="595"/>
      <c r="D30" s="595"/>
      <c r="E30" s="595"/>
      <c r="F30" s="595"/>
      <c r="G30" s="595"/>
      <c r="H30" s="595"/>
      <c r="I30" s="595"/>
      <c r="J30" s="595"/>
      <c r="K30" s="595"/>
      <c r="L30" s="595"/>
      <c r="M30" s="596"/>
    </row>
    <row r="31" spans="1:13" ht="13" thickBot="1" x14ac:dyDescent="0.3"/>
    <row r="32" spans="1:13" ht="15" thickTop="1" thickBot="1" x14ac:dyDescent="0.3">
      <c r="A32" s="591" t="s">
        <v>275</v>
      </c>
      <c r="B32" s="592"/>
      <c r="C32" s="592"/>
      <c r="D32" s="592"/>
      <c r="E32" s="592"/>
      <c r="F32" s="592"/>
      <c r="G32" s="592"/>
      <c r="H32" s="592"/>
      <c r="I32" s="592"/>
      <c r="J32" s="592"/>
      <c r="K32" s="592"/>
      <c r="L32" s="592"/>
      <c r="M32" s="592"/>
    </row>
    <row r="33" spans="1:13" ht="15" thickTop="1" thickBot="1" x14ac:dyDescent="0.3">
      <c r="A33" s="417"/>
      <c r="B33" s="418"/>
      <c r="C33" s="418"/>
      <c r="D33" s="418"/>
      <c r="E33" s="593" t="s">
        <v>255</v>
      </c>
      <c r="F33" s="593"/>
      <c r="G33" s="593"/>
      <c r="H33" s="593" t="s">
        <v>256</v>
      </c>
      <c r="I33" s="593"/>
      <c r="J33" s="593"/>
      <c r="K33" s="418"/>
      <c r="L33" s="418"/>
      <c r="M33" s="418"/>
    </row>
    <row r="34" spans="1:13" ht="43" thickTop="1" thickBot="1" x14ac:dyDescent="0.3">
      <c r="A34" s="419" t="s">
        <v>257</v>
      </c>
      <c r="B34" s="420" t="s">
        <v>258</v>
      </c>
      <c r="C34" s="420" t="s">
        <v>259</v>
      </c>
      <c r="D34" s="421" t="s">
        <v>260</v>
      </c>
      <c r="E34" s="420" t="s">
        <v>261</v>
      </c>
      <c r="F34" s="420" t="s">
        <v>274</v>
      </c>
      <c r="G34" s="422" t="s">
        <v>262</v>
      </c>
      <c r="H34" s="420" t="s">
        <v>263</v>
      </c>
      <c r="I34" s="420" t="s">
        <v>264</v>
      </c>
      <c r="J34" s="422" t="s">
        <v>265</v>
      </c>
      <c r="K34" s="420" t="s">
        <v>273</v>
      </c>
      <c r="L34" s="421" t="s">
        <v>266</v>
      </c>
      <c r="M34" s="423" t="s">
        <v>267</v>
      </c>
    </row>
    <row r="35" spans="1:13" ht="14.5" thickTop="1" x14ac:dyDescent="0.25">
      <c r="A35" s="349">
        <v>1</v>
      </c>
      <c r="B35" s="350"/>
      <c r="C35" s="346">
        <v>0</v>
      </c>
      <c r="D35" s="347">
        <v>1400</v>
      </c>
      <c r="E35" s="346">
        <v>5</v>
      </c>
      <c r="F35" s="351">
        <v>100</v>
      </c>
      <c r="G35" s="348">
        <f>ROUND(+E35*F35,)</f>
        <v>500</v>
      </c>
      <c r="H35" s="346">
        <f>+E35+1</f>
        <v>6</v>
      </c>
      <c r="I35" s="347">
        <v>40</v>
      </c>
      <c r="J35" s="348">
        <f>+H35*I35</f>
        <v>240</v>
      </c>
      <c r="K35" s="347">
        <v>0</v>
      </c>
      <c r="L35" s="347">
        <v>0</v>
      </c>
      <c r="M35" s="352">
        <f>ROUND(C35*SUM(D35,G35,J35,L35,K35),)</f>
        <v>0</v>
      </c>
    </row>
    <row r="36" spans="1:13" ht="14" x14ac:dyDescent="0.25">
      <c r="A36" s="353">
        <v>1</v>
      </c>
      <c r="B36" s="354"/>
      <c r="C36" s="355">
        <v>0</v>
      </c>
      <c r="D36" s="356">
        <v>0</v>
      </c>
      <c r="E36" s="355">
        <v>0</v>
      </c>
      <c r="F36" s="356">
        <v>0</v>
      </c>
      <c r="G36" s="416">
        <f>ROUND(+E36*F36,)</f>
        <v>0</v>
      </c>
      <c r="H36" s="355">
        <f>+E36+1</f>
        <v>1</v>
      </c>
      <c r="I36" s="356">
        <v>40</v>
      </c>
      <c r="J36" s="357">
        <f>+H36*I36</f>
        <v>40</v>
      </c>
      <c r="K36" s="356">
        <v>0</v>
      </c>
      <c r="L36" s="356">
        <v>0</v>
      </c>
      <c r="M36" s="358">
        <f>ROUND(C36*SUM(D36,G36,J36,L36,K36),)</f>
        <v>0</v>
      </c>
    </row>
    <row r="37" spans="1:13" ht="14" x14ac:dyDescent="0.25">
      <c r="A37" s="353">
        <v>1</v>
      </c>
      <c r="B37" s="354"/>
      <c r="C37" s="355">
        <v>0</v>
      </c>
      <c r="D37" s="356">
        <v>0</v>
      </c>
      <c r="E37" s="355">
        <v>0</v>
      </c>
      <c r="F37" s="356">
        <v>0</v>
      </c>
      <c r="G37" s="416">
        <f>ROUND(+E37*F37,)</f>
        <v>0</v>
      </c>
      <c r="H37" s="355">
        <f>+E37+1</f>
        <v>1</v>
      </c>
      <c r="I37" s="356">
        <v>40</v>
      </c>
      <c r="J37" s="357">
        <f>+H37*I37</f>
        <v>40</v>
      </c>
      <c r="K37" s="356">
        <v>0</v>
      </c>
      <c r="L37" s="356">
        <v>0</v>
      </c>
      <c r="M37" s="358">
        <f>C37*SUM(D37,G37,J37,L37,K37)</f>
        <v>0</v>
      </c>
    </row>
    <row r="38" spans="1:13" ht="14.5" thickBot="1" x14ac:dyDescent="0.3">
      <c r="A38" s="424"/>
      <c r="B38" s="425"/>
      <c r="C38" s="426"/>
      <c r="D38" s="427"/>
      <c r="E38" s="426"/>
      <c r="F38" s="427"/>
      <c r="G38" s="428"/>
      <c r="H38" s="426"/>
      <c r="I38" s="427"/>
      <c r="J38" s="428"/>
      <c r="K38" s="427"/>
      <c r="L38" s="429" t="s">
        <v>268</v>
      </c>
      <c r="M38" s="430">
        <f>ROUND(SUM(M35:M37),0)</f>
        <v>0</v>
      </c>
    </row>
    <row r="39" spans="1:13" ht="14.5" thickTop="1" x14ac:dyDescent="0.25">
      <c r="A39" s="349">
        <v>2</v>
      </c>
      <c r="B39" s="350"/>
      <c r="C39" s="346">
        <v>2</v>
      </c>
      <c r="D39" s="347">
        <f>ROUND(+D35*1.03,)</f>
        <v>1442</v>
      </c>
      <c r="E39" s="346">
        <v>5</v>
      </c>
      <c r="F39" s="351">
        <f>ROUND(+F35*1.03,)</f>
        <v>103</v>
      </c>
      <c r="G39" s="348">
        <f>ROUND(+E39*F39,)</f>
        <v>515</v>
      </c>
      <c r="H39" s="346">
        <f>+E39+1</f>
        <v>6</v>
      </c>
      <c r="I39" s="347">
        <v>40</v>
      </c>
      <c r="J39" s="348">
        <f>+H39*I39</f>
        <v>240</v>
      </c>
      <c r="K39" s="347">
        <v>0</v>
      </c>
      <c r="L39" s="347">
        <v>0</v>
      </c>
      <c r="M39" s="352">
        <f>ROUND(C39*SUM(D39,G39,J39,L39,K39),)</f>
        <v>4394</v>
      </c>
    </row>
    <row r="40" spans="1:13" ht="14" x14ac:dyDescent="0.25">
      <c r="A40" s="353">
        <v>2</v>
      </c>
      <c r="B40" s="354"/>
      <c r="C40" s="355">
        <v>0</v>
      </c>
      <c r="D40" s="356">
        <f>ROUND(+D36*1.03,)</f>
        <v>0</v>
      </c>
      <c r="E40" s="355">
        <v>0</v>
      </c>
      <c r="F40" s="356">
        <f>ROUND(+F36*1.03,)</f>
        <v>0</v>
      </c>
      <c r="G40" s="357">
        <f>ROUND(+E40*F40,)</f>
        <v>0</v>
      </c>
      <c r="H40" s="355">
        <f>+E40+1</f>
        <v>1</v>
      </c>
      <c r="I40" s="356">
        <v>40</v>
      </c>
      <c r="J40" s="357">
        <f>+H40*I40</f>
        <v>40</v>
      </c>
      <c r="K40" s="356">
        <v>0</v>
      </c>
      <c r="L40" s="356">
        <v>0</v>
      </c>
      <c r="M40" s="358">
        <f>ROUND(C40*SUM(D40,G40,J40,L40,K40),)</f>
        <v>0</v>
      </c>
    </row>
    <row r="41" spans="1:13" ht="14" x14ac:dyDescent="0.25">
      <c r="A41" s="359">
        <v>2</v>
      </c>
      <c r="B41" s="360"/>
      <c r="C41" s="361">
        <v>0</v>
      </c>
      <c r="D41" s="362">
        <f>ROUND(+D37*1.03,)</f>
        <v>0</v>
      </c>
      <c r="E41" s="361">
        <v>0</v>
      </c>
      <c r="F41" s="362">
        <f>ROUND(+F37*1.03,)</f>
        <v>0</v>
      </c>
      <c r="G41" s="363">
        <f>ROUND(+E41*F41,)</f>
        <v>0</v>
      </c>
      <c r="H41" s="361">
        <f>+E41+1</f>
        <v>1</v>
      </c>
      <c r="I41" s="362">
        <v>40</v>
      </c>
      <c r="J41" s="363">
        <f>+H41*I41</f>
        <v>40</v>
      </c>
      <c r="K41" s="362">
        <v>0</v>
      </c>
      <c r="L41" s="362">
        <v>0</v>
      </c>
      <c r="M41" s="364">
        <f>ROUND(C41*SUM(D41,G41,J41,L41,K41),)</f>
        <v>0</v>
      </c>
    </row>
    <row r="42" spans="1:13" ht="14.5" thickBot="1" x14ac:dyDescent="0.3">
      <c r="A42" s="431"/>
      <c r="B42" s="432"/>
      <c r="C42" s="433"/>
      <c r="D42" s="434"/>
      <c r="E42" s="433"/>
      <c r="F42" s="434"/>
      <c r="G42" s="435"/>
      <c r="H42" s="433"/>
      <c r="I42" s="434"/>
      <c r="J42" s="435"/>
      <c r="K42" s="434"/>
      <c r="L42" s="436" t="s">
        <v>269</v>
      </c>
      <c r="M42" s="437">
        <f>ROUND(SUM(M39:M41),0)</f>
        <v>4394</v>
      </c>
    </row>
    <row r="43" spans="1:13" ht="14.5" thickTop="1" x14ac:dyDescent="0.25">
      <c r="A43" s="349">
        <v>3</v>
      </c>
      <c r="B43" s="350"/>
      <c r="C43" s="346">
        <v>2</v>
      </c>
      <c r="D43" s="347">
        <f>ROUND(+D39*1.03,)</f>
        <v>1485</v>
      </c>
      <c r="E43" s="346">
        <v>5</v>
      </c>
      <c r="F43" s="347">
        <f>ROUND(+F39*1.03,)</f>
        <v>106</v>
      </c>
      <c r="G43" s="348">
        <f>ROUND(+E43*F43,)</f>
        <v>530</v>
      </c>
      <c r="H43" s="346">
        <f>+E43+1</f>
        <v>6</v>
      </c>
      <c r="I43" s="347">
        <v>40</v>
      </c>
      <c r="J43" s="348">
        <f>+H43*I43</f>
        <v>240</v>
      </c>
      <c r="K43" s="347">
        <v>0</v>
      </c>
      <c r="L43" s="347">
        <v>0</v>
      </c>
      <c r="M43" s="352">
        <f>ROUND(C43*SUM(D43,G43,J43,L43,K43),)</f>
        <v>4510</v>
      </c>
    </row>
    <row r="44" spans="1:13" ht="14" x14ac:dyDescent="0.25">
      <c r="A44" s="353">
        <v>3</v>
      </c>
      <c r="B44" s="354"/>
      <c r="C44" s="355">
        <v>0</v>
      </c>
      <c r="D44" s="356">
        <f>ROUND(+D40*1.03,)</f>
        <v>0</v>
      </c>
      <c r="E44" s="355">
        <v>0</v>
      </c>
      <c r="F44" s="356">
        <f>ROUND(+F40*1.03,)</f>
        <v>0</v>
      </c>
      <c r="G44" s="357">
        <f>ROUND(+E44*F44,)</f>
        <v>0</v>
      </c>
      <c r="H44" s="355">
        <f>+E44+1</f>
        <v>1</v>
      </c>
      <c r="I44" s="356">
        <v>40</v>
      </c>
      <c r="J44" s="357">
        <f>+H44*I44</f>
        <v>40</v>
      </c>
      <c r="K44" s="356">
        <v>0</v>
      </c>
      <c r="L44" s="356">
        <v>0</v>
      </c>
      <c r="M44" s="358">
        <f>ROUND(C44*SUM(D44,G44,J44,L44,K44),)</f>
        <v>0</v>
      </c>
    </row>
    <row r="45" spans="1:13" ht="14" x14ac:dyDescent="0.25">
      <c r="A45" s="359">
        <v>3</v>
      </c>
      <c r="B45" s="360"/>
      <c r="C45" s="361">
        <v>0</v>
      </c>
      <c r="D45" s="362">
        <f>ROUND(+D41*1.03,)</f>
        <v>0</v>
      </c>
      <c r="E45" s="361">
        <v>0</v>
      </c>
      <c r="F45" s="362">
        <f>ROUND(+F41*1.03,)</f>
        <v>0</v>
      </c>
      <c r="G45" s="363">
        <f>ROUND(+E45*F45,)</f>
        <v>0</v>
      </c>
      <c r="H45" s="361">
        <f>+E45+1</f>
        <v>1</v>
      </c>
      <c r="I45" s="362">
        <v>40</v>
      </c>
      <c r="J45" s="363">
        <f>+H45*I45</f>
        <v>40</v>
      </c>
      <c r="K45" s="362">
        <v>0</v>
      </c>
      <c r="L45" s="362">
        <v>0</v>
      </c>
      <c r="M45" s="364">
        <f>ROUND(C45*SUM(D45,G45,J45,L45,K45),)</f>
        <v>0</v>
      </c>
    </row>
    <row r="46" spans="1:13" ht="14.5" thickBot="1" x14ac:dyDescent="0.3">
      <c r="A46" s="438"/>
      <c r="B46" s="439"/>
      <c r="C46" s="440"/>
      <c r="D46" s="441"/>
      <c r="E46" s="440"/>
      <c r="F46" s="441"/>
      <c r="G46" s="442"/>
      <c r="H46" s="440"/>
      <c r="I46" s="441"/>
      <c r="J46" s="442"/>
      <c r="K46" s="443"/>
      <c r="L46" s="444" t="s">
        <v>270</v>
      </c>
      <c r="M46" s="445">
        <f>ROUND(SUM(M43:M45),0)</f>
        <v>4510</v>
      </c>
    </row>
    <row r="47" spans="1:13" ht="14.5" thickTop="1" x14ac:dyDescent="0.25">
      <c r="A47" s="379">
        <v>4</v>
      </c>
      <c r="B47" s="380"/>
      <c r="C47" s="381">
        <v>2</v>
      </c>
      <c r="D47" s="382">
        <f>ROUND(+D43*1.03,)</f>
        <v>1530</v>
      </c>
      <c r="E47" s="381">
        <v>5</v>
      </c>
      <c r="F47" s="382">
        <f>ROUND(+F43*1.03,)</f>
        <v>109</v>
      </c>
      <c r="G47" s="383">
        <f>ROUND(+E47*F47,)</f>
        <v>545</v>
      </c>
      <c r="H47" s="384">
        <f>+E47+1</f>
        <v>6</v>
      </c>
      <c r="I47" s="382">
        <v>40</v>
      </c>
      <c r="J47" s="400">
        <f>+H47*I47</f>
        <v>240</v>
      </c>
      <c r="K47" s="400">
        <v>0</v>
      </c>
      <c r="L47" s="400">
        <v>0</v>
      </c>
      <c r="M47" s="385">
        <f>ROUND(C47*SUM(D47,G47,J47,L47,K47),)</f>
        <v>4630</v>
      </c>
    </row>
    <row r="48" spans="1:13" ht="14" x14ac:dyDescent="0.25">
      <c r="A48" s="353">
        <v>4</v>
      </c>
      <c r="B48" s="354"/>
      <c r="C48" s="355">
        <v>0</v>
      </c>
      <c r="D48" s="356">
        <f>ROUND(+D44*1.03,)</f>
        <v>0</v>
      </c>
      <c r="E48" s="355">
        <v>0</v>
      </c>
      <c r="F48" s="356">
        <f>ROUND(+F44*1.03,)</f>
        <v>0</v>
      </c>
      <c r="G48" s="357">
        <f>ROUND(+E48*F48,)</f>
        <v>0</v>
      </c>
      <c r="H48" s="355">
        <f>+E48+1</f>
        <v>1</v>
      </c>
      <c r="I48" s="356">
        <v>40</v>
      </c>
      <c r="J48" s="401">
        <f>+H48*I48</f>
        <v>40</v>
      </c>
      <c r="K48" s="401">
        <v>0</v>
      </c>
      <c r="L48" s="401">
        <v>0</v>
      </c>
      <c r="M48" s="358">
        <f>ROUND(C48*SUM(D48,G48,J48,L48,K48),)</f>
        <v>0</v>
      </c>
    </row>
    <row r="49" spans="1:13" ht="14" x14ac:dyDescent="0.25">
      <c r="A49" s="359">
        <v>4</v>
      </c>
      <c r="B49" s="360"/>
      <c r="C49" s="361">
        <v>0</v>
      </c>
      <c r="D49" s="362">
        <f>ROUND(+D45*1.03,)</f>
        <v>0</v>
      </c>
      <c r="E49" s="361">
        <v>0</v>
      </c>
      <c r="F49" s="362">
        <f>ROUND(+F45*1.03,)</f>
        <v>0</v>
      </c>
      <c r="G49" s="363">
        <f>ROUND(+E49*F49,)</f>
        <v>0</v>
      </c>
      <c r="H49" s="361">
        <f>+E49+1</f>
        <v>1</v>
      </c>
      <c r="I49" s="362">
        <v>40</v>
      </c>
      <c r="J49" s="363">
        <f>+H49*I49</f>
        <v>40</v>
      </c>
      <c r="K49" s="403">
        <v>0</v>
      </c>
      <c r="L49" s="362">
        <v>0</v>
      </c>
      <c r="M49" s="364">
        <f>ROUND(C49*SUM(D49,G49,J49,L49,K49),)</f>
        <v>0</v>
      </c>
    </row>
    <row r="50" spans="1:13" ht="14.5" thickBot="1" x14ac:dyDescent="0.3">
      <c r="A50" s="446"/>
      <c r="B50" s="447"/>
      <c r="C50" s="448"/>
      <c r="D50" s="449"/>
      <c r="E50" s="448"/>
      <c r="F50" s="449"/>
      <c r="G50" s="450"/>
      <c r="H50" s="448"/>
      <c r="I50" s="449"/>
      <c r="J50" s="450"/>
      <c r="K50" s="449"/>
      <c r="L50" s="451" t="s">
        <v>271</v>
      </c>
      <c r="M50" s="452">
        <f>ROUND(SUM(M47:M49),0)</f>
        <v>4630</v>
      </c>
    </row>
    <row r="51" spans="1:13" ht="14.5" thickTop="1" x14ac:dyDescent="0.25">
      <c r="A51" s="349">
        <v>5</v>
      </c>
      <c r="B51" s="350"/>
      <c r="C51" s="346">
        <v>0</v>
      </c>
      <c r="D51" s="347">
        <f>ROUND(+D47*1.03,)</f>
        <v>1576</v>
      </c>
      <c r="E51" s="346">
        <v>0</v>
      </c>
      <c r="F51" s="347">
        <f>ROUND(+F47*1.03,)</f>
        <v>112</v>
      </c>
      <c r="G51" s="348">
        <f>ROUND(+E51*F51,)</f>
        <v>0</v>
      </c>
      <c r="H51" s="346">
        <f>+E51+1</f>
        <v>1</v>
      </c>
      <c r="I51" s="347">
        <v>40</v>
      </c>
      <c r="J51" s="348">
        <f>+H51*I51</f>
        <v>40</v>
      </c>
      <c r="K51" s="347">
        <v>0</v>
      </c>
      <c r="L51" s="347">
        <v>0</v>
      </c>
      <c r="M51" s="352">
        <f>ROUND(C51*SUM(D51,G51,J51,L51,K51),)</f>
        <v>0</v>
      </c>
    </row>
    <row r="52" spans="1:13" ht="14" x14ac:dyDescent="0.25">
      <c r="A52" s="353">
        <v>5</v>
      </c>
      <c r="B52" s="354"/>
      <c r="C52" s="355">
        <v>0</v>
      </c>
      <c r="D52" s="356">
        <f>ROUND(+D48*1.03,)</f>
        <v>0</v>
      </c>
      <c r="E52" s="355">
        <v>0</v>
      </c>
      <c r="F52" s="356">
        <f>ROUND(+F48*1.03,)</f>
        <v>0</v>
      </c>
      <c r="G52" s="357">
        <f>ROUND(+E52*F52,)</f>
        <v>0</v>
      </c>
      <c r="H52" s="355">
        <f>+E52+1</f>
        <v>1</v>
      </c>
      <c r="I52" s="356">
        <v>40</v>
      </c>
      <c r="J52" s="357">
        <f>+H52*I52</f>
        <v>40</v>
      </c>
      <c r="K52" s="356">
        <v>0</v>
      </c>
      <c r="L52" s="356">
        <v>0</v>
      </c>
      <c r="M52" s="358">
        <f>ROUND(C52*SUM(D52,G52,J52,L52,K52),)</f>
        <v>0</v>
      </c>
    </row>
    <row r="53" spans="1:13" ht="14" x14ac:dyDescent="0.25">
      <c r="A53" s="359">
        <v>5</v>
      </c>
      <c r="B53" s="360"/>
      <c r="C53" s="361">
        <v>0</v>
      </c>
      <c r="D53" s="362">
        <f>ROUND(+D49*1.03,)</f>
        <v>0</v>
      </c>
      <c r="E53" s="361">
        <v>0</v>
      </c>
      <c r="F53" s="362">
        <f>ROUND(+F49*1.03,)</f>
        <v>0</v>
      </c>
      <c r="G53" s="363">
        <f>ROUND(+E53*F53,)</f>
        <v>0</v>
      </c>
      <c r="H53" s="361">
        <f>+E53+1</f>
        <v>1</v>
      </c>
      <c r="I53" s="362">
        <v>40</v>
      </c>
      <c r="J53" s="363">
        <f>+H53*I53</f>
        <v>40</v>
      </c>
      <c r="K53" s="362">
        <v>0</v>
      </c>
      <c r="L53" s="362">
        <v>0</v>
      </c>
      <c r="M53" s="364">
        <f>ROUND(C53*SUM(D53,G53,J53,L53,K53),)</f>
        <v>0</v>
      </c>
    </row>
    <row r="54" spans="1:13" ht="14.5" thickBot="1" x14ac:dyDescent="0.3">
      <c r="A54" s="453"/>
      <c r="B54" s="454"/>
      <c r="C54" s="455"/>
      <c r="D54" s="456"/>
      <c r="E54" s="455"/>
      <c r="F54" s="455"/>
      <c r="G54" s="456"/>
      <c r="H54" s="455"/>
      <c r="I54" s="457"/>
      <c r="J54" s="457"/>
      <c r="K54" s="457"/>
      <c r="L54" s="458" t="s">
        <v>272</v>
      </c>
      <c r="M54" s="459">
        <f>ROUND(SUM(M51:M53),0)</f>
        <v>0</v>
      </c>
    </row>
    <row r="55" spans="1:13" ht="13" thickTop="1" x14ac:dyDescent="0.25"/>
  </sheetData>
  <mergeCells count="9">
    <mergeCell ref="A32:M32"/>
    <mergeCell ref="E33:G33"/>
    <mergeCell ref="H33:J33"/>
    <mergeCell ref="A30:M30"/>
    <mergeCell ref="A2:M2"/>
    <mergeCell ref="A3:M3"/>
    <mergeCell ref="A5:M5"/>
    <mergeCell ref="E6:G6"/>
    <mergeCell ref="H6:J6"/>
  </mergeCells>
  <hyperlinks>
    <hyperlink ref="A30:M30" r:id="rId1" display="Dept of State Per Diem Rates: https://aoprals.state.gov/web920/per_diem.asp" xr:uid="{00000000-0004-0000-0400-000000000000}"/>
    <hyperlink ref="A2:M2" r:id="rId2" display="Iowa State Travel Policies: http://www.controller.iastate.edu/travelinformation/homepage.htm" xr:uid="{00000000-0004-0000-0400-000001000000}"/>
  </hyperlink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S84"/>
  <sheetViews>
    <sheetView workbookViewId="0">
      <selection activeCell="C4" sqref="C4:E4"/>
    </sheetView>
  </sheetViews>
  <sheetFormatPr defaultRowHeight="12.5" x14ac:dyDescent="0.25"/>
  <cols>
    <col min="2" max="2" width="42.1796875" bestFit="1" customWidth="1"/>
    <col min="4" max="4" width="24.26953125" bestFit="1" customWidth="1"/>
    <col min="5" max="5" width="22.1796875" bestFit="1" customWidth="1"/>
    <col min="8" max="19" width="8.7265625" style="464"/>
  </cols>
  <sheetData>
    <row r="1" spans="1:8" ht="13" thickBot="1" x14ac:dyDescent="0.3">
      <c r="A1" s="539"/>
      <c r="B1" s="540"/>
      <c r="C1" s="540"/>
      <c r="D1" s="540"/>
      <c r="E1" s="540"/>
      <c r="F1" s="541"/>
      <c r="G1" s="464"/>
    </row>
    <row r="2" spans="1:8" ht="13" customHeight="1" thickBot="1" x14ac:dyDescent="0.3">
      <c r="A2" s="542"/>
      <c r="B2" s="613" t="s">
        <v>310</v>
      </c>
      <c r="C2" s="614"/>
      <c r="D2" s="614"/>
      <c r="E2" s="615"/>
      <c r="F2" s="543"/>
      <c r="G2" s="464"/>
    </row>
    <row r="3" spans="1:8" ht="13" thickBot="1" x14ac:dyDescent="0.3">
      <c r="A3" s="542"/>
      <c r="B3" s="544"/>
      <c r="C3" s="544"/>
      <c r="D3" s="544"/>
      <c r="E3" s="544"/>
      <c r="F3" s="545"/>
      <c r="G3" s="464"/>
    </row>
    <row r="4" spans="1:8" ht="38" thickTop="1" thickBot="1" x14ac:dyDescent="0.3">
      <c r="A4" s="542"/>
      <c r="B4" s="506" t="s">
        <v>311</v>
      </c>
      <c r="C4" s="608"/>
      <c r="D4" s="609"/>
      <c r="E4" s="609"/>
      <c r="F4" s="543"/>
      <c r="G4" s="464"/>
    </row>
    <row r="5" spans="1:8" ht="29" thickTop="1" thickBot="1" x14ac:dyDescent="0.3">
      <c r="A5" s="542"/>
      <c r="B5" s="509"/>
      <c r="C5" s="510"/>
      <c r="D5" s="507"/>
      <c r="E5" s="507"/>
      <c r="F5" s="543"/>
      <c r="G5" s="464"/>
    </row>
    <row r="6" spans="1:8" ht="29" thickTop="1" thickBot="1" x14ac:dyDescent="0.3">
      <c r="A6" s="542"/>
      <c r="B6" s="506" t="s">
        <v>312</v>
      </c>
      <c r="C6" s="610">
        <f>ROUNDDOWN(F14,4)</f>
        <v>0</v>
      </c>
      <c r="D6" s="611"/>
      <c r="E6" s="611"/>
      <c r="F6" s="543"/>
      <c r="G6" s="464"/>
    </row>
    <row r="7" spans="1:8" ht="13.5" thickTop="1" thickBot="1" x14ac:dyDescent="0.3">
      <c r="A7" s="546"/>
      <c r="B7" s="547"/>
      <c r="C7" s="547"/>
      <c r="D7" s="547"/>
      <c r="E7" s="547"/>
      <c r="F7" s="548"/>
      <c r="G7" s="464"/>
    </row>
    <row r="8" spans="1:8" ht="14" hidden="1" x14ac:dyDescent="0.25">
      <c r="A8" s="504"/>
      <c r="B8" s="504"/>
      <c r="C8" s="504"/>
      <c r="D8" s="504"/>
      <c r="E8" s="504"/>
      <c r="F8" s="504"/>
      <c r="G8" s="508"/>
      <c r="H8" s="505"/>
    </row>
    <row r="9" spans="1:8" ht="14.5" hidden="1" thickBot="1" x14ac:dyDescent="0.35">
      <c r="A9" s="504"/>
      <c r="B9" s="511" t="s">
        <v>313</v>
      </c>
      <c r="C9" s="511"/>
      <c r="D9" s="512"/>
      <c r="E9" s="512"/>
      <c r="F9" s="512"/>
      <c r="G9" s="513"/>
      <c r="H9" s="514"/>
    </row>
    <row r="10" spans="1:8" ht="37.5" hidden="1" x14ac:dyDescent="0.25">
      <c r="A10" s="504"/>
      <c r="B10" s="515">
        <v>1</v>
      </c>
      <c r="C10" s="516" t="s">
        <v>314</v>
      </c>
      <c r="D10" s="517" t="s">
        <v>315</v>
      </c>
      <c r="E10" s="516" t="s">
        <v>316</v>
      </c>
      <c r="F10" s="518" t="s">
        <v>317</v>
      </c>
      <c r="G10" s="519"/>
      <c r="H10" s="520"/>
    </row>
    <row r="11" spans="1:8" ht="50.5" hidden="1" thickBot="1" x14ac:dyDescent="0.3">
      <c r="A11" s="504"/>
      <c r="B11" s="521" t="s">
        <v>315</v>
      </c>
      <c r="C11" s="522" t="s">
        <v>318</v>
      </c>
      <c r="D11" s="523" t="s">
        <v>317</v>
      </c>
      <c r="E11" s="522" t="s">
        <v>316</v>
      </c>
      <c r="F11" s="524" t="s">
        <v>312</v>
      </c>
      <c r="G11" s="519"/>
      <c r="H11" s="525"/>
    </row>
    <row r="12" spans="1:8" ht="14.5" hidden="1" thickBot="1" x14ac:dyDescent="0.3">
      <c r="A12" s="504"/>
      <c r="B12" s="526"/>
      <c r="C12" s="526"/>
      <c r="D12" s="526"/>
      <c r="E12" s="526"/>
      <c r="F12" s="526"/>
      <c r="G12" s="519"/>
      <c r="H12" s="508"/>
    </row>
    <row r="13" spans="1:8" ht="13" hidden="1" x14ac:dyDescent="0.25">
      <c r="A13" s="504"/>
      <c r="B13" s="527">
        <v>1</v>
      </c>
      <c r="C13" s="528" t="s">
        <v>319</v>
      </c>
      <c r="D13" s="529">
        <f>C4</f>
        <v>0</v>
      </c>
      <c r="E13" s="530" t="s">
        <v>250</v>
      </c>
      <c r="F13" s="531">
        <f>B13-D13</f>
        <v>1</v>
      </c>
      <c r="G13" s="532"/>
      <c r="H13" s="505"/>
    </row>
    <row r="14" spans="1:8" ht="13.5" hidden="1" customHeight="1" thickBot="1" x14ac:dyDescent="0.3">
      <c r="A14" s="504"/>
      <c r="B14" s="533">
        <f>D13</f>
        <v>0</v>
      </c>
      <c r="C14" s="538" t="s">
        <v>320</v>
      </c>
      <c r="D14" s="534">
        <f>F13</f>
        <v>1</v>
      </c>
      <c r="E14" s="535" t="s">
        <v>250</v>
      </c>
      <c r="F14" s="536">
        <f>B14/D14</f>
        <v>0</v>
      </c>
      <c r="G14" s="612" t="s">
        <v>321</v>
      </c>
      <c r="H14" s="612"/>
    </row>
    <row r="15" spans="1:8" ht="14.5" hidden="1" x14ac:dyDescent="0.25">
      <c r="A15" s="504"/>
      <c r="B15" s="504"/>
      <c r="C15" s="504"/>
      <c r="D15" s="504"/>
      <c r="E15" s="504"/>
      <c r="F15" s="537">
        <f>TRUNC(F14,5)</f>
        <v>0</v>
      </c>
      <c r="G15" s="612"/>
      <c r="H15" s="612"/>
    </row>
    <row r="16" spans="1:8" hidden="1" x14ac:dyDescent="0.25">
      <c r="A16" s="504"/>
      <c r="B16" s="504"/>
      <c r="C16" s="504"/>
      <c r="D16" s="504"/>
      <c r="E16" s="504"/>
      <c r="F16" s="504"/>
      <c r="G16" s="612"/>
      <c r="H16" s="612"/>
    </row>
    <row r="17" spans="1:7" ht="13" thickBot="1" x14ac:dyDescent="0.3">
      <c r="A17" s="464"/>
      <c r="B17" s="464"/>
      <c r="C17" s="464"/>
      <c r="D17" s="464"/>
      <c r="E17" s="464"/>
      <c r="F17" s="464"/>
      <c r="G17" s="464"/>
    </row>
    <row r="18" spans="1:7" x14ac:dyDescent="0.25">
      <c r="A18" s="465"/>
      <c r="B18" s="466"/>
      <c r="C18" s="466"/>
      <c r="D18" s="466"/>
      <c r="E18" s="466"/>
      <c r="F18" s="467"/>
      <c r="G18" s="464"/>
    </row>
    <row r="19" spans="1:7" ht="18.5" x14ac:dyDescent="0.45">
      <c r="A19" s="468"/>
      <c r="B19" s="469" t="s">
        <v>284</v>
      </c>
      <c r="C19" s="470"/>
      <c r="D19" s="471" t="s">
        <v>285</v>
      </c>
      <c r="E19" s="472" t="s">
        <v>286</v>
      </c>
      <c r="F19" s="473"/>
      <c r="G19" s="464"/>
    </row>
    <row r="20" spans="1:7" ht="14.5" x14ac:dyDescent="0.35">
      <c r="A20" s="468"/>
      <c r="B20" s="474" t="s">
        <v>287</v>
      </c>
      <c r="C20" s="475"/>
      <c r="D20" s="476"/>
      <c r="E20" s="477"/>
      <c r="F20" s="473"/>
      <c r="G20" s="464"/>
    </row>
    <row r="21" spans="1:7" ht="14.5" x14ac:dyDescent="0.35">
      <c r="A21" s="468"/>
      <c r="B21" s="478" t="s">
        <v>288</v>
      </c>
      <c r="C21" s="479"/>
      <c r="D21" s="480"/>
      <c r="E21" s="481"/>
      <c r="F21" s="473"/>
      <c r="G21" s="464"/>
    </row>
    <row r="22" spans="1:7" ht="14.5" x14ac:dyDescent="0.35">
      <c r="A22" s="468"/>
      <c r="B22" s="478" t="s">
        <v>289</v>
      </c>
      <c r="C22" s="479"/>
      <c r="D22" s="480"/>
      <c r="E22" s="481"/>
      <c r="F22" s="473"/>
      <c r="G22" s="464"/>
    </row>
    <row r="23" spans="1:7" ht="14.5" x14ac:dyDescent="0.35">
      <c r="A23" s="468"/>
      <c r="B23" s="478" t="s">
        <v>290</v>
      </c>
      <c r="C23" s="479"/>
      <c r="D23" s="480"/>
      <c r="E23" s="481"/>
      <c r="F23" s="473"/>
      <c r="G23" s="464"/>
    </row>
    <row r="24" spans="1:7" ht="14.5" x14ac:dyDescent="0.35">
      <c r="A24" s="468"/>
      <c r="B24" s="478" t="s">
        <v>291</v>
      </c>
      <c r="C24" s="479"/>
      <c r="D24" s="480"/>
      <c r="E24" s="481"/>
      <c r="F24" s="473"/>
      <c r="G24" s="464"/>
    </row>
    <row r="25" spans="1:7" ht="14.5" x14ac:dyDescent="0.35">
      <c r="A25" s="468"/>
      <c r="B25" s="478" t="s">
        <v>292</v>
      </c>
      <c r="C25" s="479"/>
      <c r="D25" s="480"/>
      <c r="E25" s="481"/>
      <c r="F25" s="473"/>
      <c r="G25" s="464"/>
    </row>
    <row r="26" spans="1:7" ht="14.5" x14ac:dyDescent="0.35">
      <c r="A26" s="468"/>
      <c r="B26" s="478" t="s">
        <v>293</v>
      </c>
      <c r="C26" s="479"/>
      <c r="D26" s="480"/>
      <c r="E26" s="481"/>
      <c r="F26" s="473"/>
      <c r="G26" s="464"/>
    </row>
    <row r="27" spans="1:7" ht="14.5" x14ac:dyDescent="0.35">
      <c r="A27" s="468"/>
      <c r="B27" s="478" t="s">
        <v>294</v>
      </c>
      <c r="C27" s="479"/>
      <c r="D27" s="480"/>
      <c r="E27" s="481"/>
      <c r="F27" s="473"/>
      <c r="G27" s="464"/>
    </row>
    <row r="28" spans="1:7" ht="14.5" x14ac:dyDescent="0.35">
      <c r="A28" s="468"/>
      <c r="B28" s="478" t="s">
        <v>295</v>
      </c>
      <c r="C28" s="479"/>
      <c r="D28" s="480"/>
      <c r="E28" s="481"/>
      <c r="F28" s="473"/>
      <c r="G28" s="464"/>
    </row>
    <row r="29" spans="1:7" ht="14.5" x14ac:dyDescent="0.35">
      <c r="A29" s="468"/>
      <c r="B29" s="478" t="s">
        <v>296</v>
      </c>
      <c r="C29" s="479"/>
      <c r="D29" s="480"/>
      <c r="E29" s="481"/>
      <c r="F29" s="473"/>
      <c r="G29" s="464"/>
    </row>
    <row r="30" spans="1:7" ht="14.5" x14ac:dyDescent="0.35">
      <c r="A30" s="468"/>
      <c r="B30" s="478" t="s">
        <v>297</v>
      </c>
      <c r="C30" s="482"/>
      <c r="D30" s="480"/>
      <c r="E30" s="481"/>
      <c r="F30" s="473"/>
      <c r="G30" s="464"/>
    </row>
    <row r="31" spans="1:7" ht="14.5" x14ac:dyDescent="0.35">
      <c r="A31" s="468"/>
      <c r="B31" s="483" t="s">
        <v>298</v>
      </c>
      <c r="C31" s="484"/>
      <c r="D31" s="485">
        <f>SUM(D20:D30)</f>
        <v>0</v>
      </c>
      <c r="E31" s="486">
        <f>SUM(E20:E30)</f>
        <v>0</v>
      </c>
      <c r="F31" s="473"/>
      <c r="G31" s="464"/>
    </row>
    <row r="32" spans="1:7" x14ac:dyDescent="0.25">
      <c r="A32" s="468"/>
      <c r="B32" s="487"/>
      <c r="C32" s="487"/>
      <c r="D32" s="488"/>
      <c r="E32" s="487"/>
      <c r="F32" s="473"/>
      <c r="G32" s="464"/>
    </row>
    <row r="33" spans="1:19" ht="18.5" x14ac:dyDescent="0.45">
      <c r="A33" s="468"/>
      <c r="B33" s="469" t="s">
        <v>299</v>
      </c>
      <c r="C33" s="470"/>
      <c r="D33" s="470"/>
      <c r="E33" s="489"/>
      <c r="F33" s="473"/>
      <c r="G33" s="464"/>
    </row>
    <row r="34" spans="1:19" x14ac:dyDescent="0.25">
      <c r="A34" s="468"/>
      <c r="B34" s="490"/>
      <c r="C34" s="487"/>
      <c r="D34" s="487"/>
      <c r="E34" s="491"/>
      <c r="F34" s="473"/>
      <c r="G34" s="464"/>
    </row>
    <row r="35" spans="1:19" ht="14.5" x14ac:dyDescent="0.35">
      <c r="A35" s="468"/>
      <c r="B35" s="492" t="str">
        <f>Summary!C106</f>
        <v>IDC on Negotiated Rate</v>
      </c>
      <c r="C35" s="487"/>
      <c r="D35" s="551" t="str">
        <f>Summary!D106</f>
        <v>53%</v>
      </c>
      <c r="E35" s="491"/>
      <c r="F35" s="473"/>
      <c r="G35" s="464"/>
      <c r="H35" s="549">
        <v>0.26</v>
      </c>
    </row>
    <row r="36" spans="1:19" s="142" customFormat="1" ht="29" x14ac:dyDescent="0.35">
      <c r="A36" s="468"/>
      <c r="B36" s="493" t="s">
        <v>300</v>
      </c>
      <c r="C36" s="487"/>
      <c r="D36" s="550">
        <f>C4</f>
        <v>0</v>
      </c>
      <c r="E36" s="491"/>
      <c r="F36" s="473"/>
      <c r="G36" s="464"/>
      <c r="H36" s="549">
        <v>0.33</v>
      </c>
      <c r="I36" s="464"/>
      <c r="J36" s="464"/>
      <c r="K36" s="464"/>
      <c r="L36" s="464"/>
      <c r="M36" s="464"/>
      <c r="N36" s="464"/>
      <c r="O36" s="464"/>
      <c r="P36" s="464"/>
      <c r="Q36" s="464"/>
      <c r="R36" s="464"/>
      <c r="S36" s="464"/>
    </row>
    <row r="37" spans="1:19" s="142" customFormat="1" ht="14.5" hidden="1" x14ac:dyDescent="0.35">
      <c r="A37" s="468"/>
      <c r="B37" s="492" t="s">
        <v>301</v>
      </c>
      <c r="C37" s="487"/>
      <c r="D37" s="494">
        <f>C6</f>
        <v>0</v>
      </c>
      <c r="E37" s="491"/>
      <c r="F37" s="473"/>
      <c r="G37" s="464"/>
      <c r="H37" s="549">
        <v>0.53</v>
      </c>
      <c r="I37" s="464"/>
      <c r="J37" s="464"/>
      <c r="K37" s="464"/>
      <c r="L37" s="464"/>
      <c r="M37" s="464"/>
      <c r="N37" s="464"/>
      <c r="O37" s="464"/>
      <c r="P37" s="464"/>
      <c r="Q37" s="464"/>
      <c r="R37" s="464"/>
      <c r="S37" s="464"/>
    </row>
    <row r="38" spans="1:19" s="142" customFormat="1" x14ac:dyDescent="0.25">
      <c r="A38" s="468"/>
      <c r="B38" s="490"/>
      <c r="C38" s="487"/>
      <c r="D38" s="487"/>
      <c r="E38" s="491"/>
      <c r="F38" s="473"/>
      <c r="G38" s="464"/>
      <c r="H38" s="464"/>
      <c r="I38" s="464"/>
      <c r="J38" s="464"/>
      <c r="K38" s="464"/>
      <c r="L38" s="464"/>
      <c r="M38" s="464"/>
      <c r="N38" s="464"/>
      <c r="O38" s="464"/>
      <c r="P38" s="464"/>
      <c r="Q38" s="464"/>
      <c r="R38" s="464"/>
      <c r="S38" s="464"/>
    </row>
    <row r="39" spans="1:19" s="142" customFormat="1" ht="14.5" hidden="1" x14ac:dyDescent="0.35">
      <c r="A39" s="468"/>
      <c r="B39" s="492" t="s">
        <v>302</v>
      </c>
      <c r="C39" s="487"/>
      <c r="D39" s="552">
        <f>Summary!R99</f>
        <v>407240.72</v>
      </c>
      <c r="E39" s="491"/>
      <c r="F39" s="473"/>
      <c r="G39" s="464"/>
      <c r="H39" s="464"/>
      <c r="I39" s="464"/>
      <c r="J39" s="464"/>
      <c r="K39" s="464"/>
      <c r="L39" s="464"/>
      <c r="M39" s="464"/>
      <c r="N39" s="464"/>
      <c r="O39" s="464"/>
      <c r="P39" s="464"/>
      <c r="Q39" s="464"/>
      <c r="R39" s="464"/>
      <c r="S39" s="464"/>
    </row>
    <row r="40" spans="1:19" s="142" customFormat="1" ht="14.5" hidden="1" x14ac:dyDescent="0.35">
      <c r="A40" s="468"/>
      <c r="B40" s="493" t="s">
        <v>303</v>
      </c>
      <c r="C40" s="487"/>
      <c r="D40" s="552">
        <f>Summary!R102</f>
        <v>316990.71999999997</v>
      </c>
      <c r="E40" s="491"/>
      <c r="F40" s="473"/>
      <c r="G40" s="464"/>
      <c r="H40" s="464"/>
      <c r="I40" s="464"/>
      <c r="J40" s="464"/>
      <c r="K40" s="464"/>
      <c r="L40" s="464"/>
      <c r="M40" s="464"/>
      <c r="N40" s="464"/>
      <c r="O40" s="464"/>
      <c r="P40" s="464"/>
      <c r="Q40" s="464"/>
      <c r="R40" s="464"/>
      <c r="S40" s="464"/>
    </row>
    <row r="41" spans="1:19" s="142" customFormat="1" ht="14.5" x14ac:dyDescent="0.35">
      <c r="A41" s="468"/>
      <c r="B41" s="492" t="s">
        <v>304</v>
      </c>
      <c r="C41" s="487"/>
      <c r="D41" s="488">
        <f>+(D39-E31)*F15</f>
        <v>0</v>
      </c>
      <c r="E41" s="495" t="str">
        <f>+IF(D41&lt;D46,"F&amp;A calculation exceeds Cap", "")</f>
        <v/>
      </c>
      <c r="F41" s="473"/>
      <c r="G41" s="464"/>
      <c r="H41" s="464"/>
      <c r="I41" s="464"/>
      <c r="J41" s="464"/>
      <c r="K41" s="464"/>
      <c r="L41" s="464"/>
      <c r="M41" s="464"/>
      <c r="N41" s="464"/>
      <c r="O41" s="464"/>
      <c r="P41" s="464"/>
      <c r="Q41" s="464"/>
      <c r="R41" s="464"/>
      <c r="S41" s="464"/>
    </row>
    <row r="42" spans="1:19" s="142" customFormat="1" ht="14.5" hidden="1" x14ac:dyDescent="0.35">
      <c r="A42" s="468"/>
      <c r="B42" s="492" t="s">
        <v>305</v>
      </c>
      <c r="C42" s="487"/>
      <c r="D42" s="488">
        <f>+D40*D35</f>
        <v>168005.0816</v>
      </c>
      <c r="E42" s="495"/>
      <c r="F42" s="473"/>
      <c r="G42" s="464"/>
      <c r="H42" s="464"/>
      <c r="I42" s="464"/>
      <c r="J42" s="464"/>
      <c r="K42" s="464"/>
      <c r="L42" s="464"/>
      <c r="M42" s="464"/>
      <c r="N42" s="464"/>
      <c r="O42" s="464"/>
      <c r="P42" s="464"/>
      <c r="Q42" s="464"/>
      <c r="R42" s="464"/>
      <c r="S42" s="464"/>
    </row>
    <row r="43" spans="1:19" s="142" customFormat="1" ht="14.5" hidden="1" x14ac:dyDescent="0.35">
      <c r="A43" s="468"/>
      <c r="B43" s="492" t="s">
        <v>306</v>
      </c>
      <c r="C43" s="487"/>
      <c r="D43" s="488">
        <f>(+D39-D31-E31)*D37</f>
        <v>0</v>
      </c>
      <c r="E43" s="495"/>
      <c r="F43" s="473"/>
      <c r="G43" s="464"/>
      <c r="H43" s="464"/>
      <c r="I43" s="464"/>
      <c r="J43" s="464"/>
      <c r="K43" s="464"/>
      <c r="L43" s="464"/>
      <c r="M43" s="464"/>
      <c r="N43" s="464"/>
      <c r="O43" s="464"/>
      <c r="P43" s="464"/>
      <c r="Q43" s="464"/>
      <c r="R43" s="464"/>
      <c r="S43" s="464"/>
    </row>
    <row r="44" spans="1:19" s="142" customFormat="1" ht="14.5" x14ac:dyDescent="0.35">
      <c r="A44" s="468"/>
      <c r="B44" s="492"/>
      <c r="C44" s="487"/>
      <c r="D44" s="487"/>
      <c r="E44" s="491"/>
      <c r="F44" s="473"/>
      <c r="G44" s="464"/>
      <c r="H44" s="464"/>
      <c r="I44" s="464"/>
      <c r="J44" s="464"/>
      <c r="K44" s="464"/>
      <c r="L44" s="464"/>
      <c r="M44" s="464"/>
      <c r="N44" s="464"/>
      <c r="O44" s="464"/>
      <c r="P44" s="464"/>
      <c r="Q44" s="464"/>
      <c r="R44" s="464"/>
      <c r="S44" s="464"/>
    </row>
    <row r="45" spans="1:19" s="142" customFormat="1" ht="14.5" x14ac:dyDescent="0.35">
      <c r="A45" s="468"/>
      <c r="B45" s="492" t="s">
        <v>307</v>
      </c>
      <c r="C45" s="487"/>
      <c r="D45" s="488">
        <f>+D42+E31</f>
        <v>168005.0816</v>
      </c>
      <c r="E45" s="491"/>
      <c r="F45" s="473"/>
      <c r="G45" s="464"/>
      <c r="H45" s="464"/>
      <c r="I45" s="464"/>
      <c r="J45" s="464"/>
      <c r="K45" s="464"/>
      <c r="L45" s="464"/>
      <c r="M45" s="464"/>
      <c r="N45" s="464"/>
      <c r="O45" s="464"/>
      <c r="P45" s="464"/>
      <c r="Q45" s="464"/>
      <c r="R45" s="464"/>
      <c r="S45" s="464"/>
    </row>
    <row r="46" spans="1:19" s="142" customFormat="1" ht="14.5" x14ac:dyDescent="0.35">
      <c r="A46" s="468"/>
      <c r="B46" s="496" t="s">
        <v>308</v>
      </c>
      <c r="C46" s="484"/>
      <c r="D46" s="497">
        <f>+D43+E31</f>
        <v>0</v>
      </c>
      <c r="E46" s="498"/>
      <c r="F46" s="473"/>
      <c r="G46" s="464"/>
      <c r="H46" s="464"/>
      <c r="I46" s="464"/>
      <c r="J46" s="464"/>
      <c r="K46" s="464"/>
      <c r="L46" s="464"/>
      <c r="M46" s="464"/>
      <c r="N46" s="464"/>
      <c r="O46" s="464"/>
      <c r="P46" s="464"/>
      <c r="Q46" s="464"/>
      <c r="R46" s="464"/>
      <c r="S46" s="464"/>
    </row>
    <row r="47" spans="1:19" s="142" customFormat="1" x14ac:dyDescent="0.25">
      <c r="A47" s="468"/>
      <c r="B47" s="487"/>
      <c r="C47" s="487"/>
      <c r="D47" s="487"/>
      <c r="E47" s="487"/>
      <c r="F47" s="473"/>
      <c r="G47" s="464"/>
      <c r="H47" s="464"/>
      <c r="I47" s="464"/>
      <c r="J47" s="464"/>
      <c r="K47" s="464"/>
      <c r="L47" s="464"/>
      <c r="M47" s="464"/>
      <c r="N47" s="464"/>
      <c r="O47" s="464"/>
      <c r="P47" s="464"/>
      <c r="Q47" s="464"/>
      <c r="R47" s="464"/>
      <c r="S47" s="464"/>
    </row>
    <row r="48" spans="1:19" s="142" customFormat="1" ht="26.5" thickBot="1" x14ac:dyDescent="0.3">
      <c r="A48" s="468"/>
      <c r="B48" s="499" t="s">
        <v>309</v>
      </c>
      <c r="C48" s="500"/>
      <c r="D48" s="606" t="str">
        <f>IF(D45&lt;D46, "ISU MTDC Rate", "ISU TFFA Rate")</f>
        <v>ISU TFFA Rate</v>
      </c>
      <c r="E48" s="607"/>
      <c r="F48" s="473"/>
      <c r="G48" s="464"/>
      <c r="H48" s="464"/>
      <c r="I48" s="464"/>
      <c r="J48" s="464"/>
      <c r="K48" s="464"/>
      <c r="L48" s="464"/>
      <c r="M48" s="464"/>
      <c r="N48" s="464"/>
      <c r="O48" s="464"/>
      <c r="P48" s="464"/>
      <c r="Q48" s="464"/>
      <c r="R48" s="464"/>
      <c r="S48" s="464"/>
    </row>
    <row r="49" spans="1:19" s="142" customFormat="1" ht="13.5" thickTop="1" thickBot="1" x14ac:dyDescent="0.3">
      <c r="A49" s="501"/>
      <c r="B49" s="502"/>
      <c r="C49" s="502"/>
      <c r="D49" s="502"/>
      <c r="E49" s="502"/>
      <c r="F49" s="503"/>
      <c r="G49" s="464"/>
      <c r="H49" s="464"/>
      <c r="I49" s="464"/>
      <c r="J49" s="464"/>
      <c r="K49" s="464"/>
      <c r="L49" s="464"/>
      <c r="M49" s="464"/>
      <c r="N49" s="464"/>
      <c r="O49" s="464"/>
      <c r="P49" s="464"/>
      <c r="Q49" s="464"/>
      <c r="R49" s="464"/>
      <c r="S49" s="464"/>
    </row>
    <row r="50" spans="1:19" s="142" customFormat="1" x14ac:dyDescent="0.25">
      <c r="A50" s="464"/>
      <c r="B50" s="464"/>
      <c r="C50" s="464"/>
      <c r="D50" s="464"/>
      <c r="E50" s="464"/>
      <c r="F50" s="464"/>
      <c r="G50" s="464"/>
      <c r="H50" s="464"/>
      <c r="I50" s="464"/>
      <c r="J50" s="464"/>
      <c r="K50" s="464"/>
      <c r="L50" s="464"/>
      <c r="M50" s="464"/>
      <c r="N50" s="464"/>
      <c r="O50" s="464"/>
      <c r="P50" s="464"/>
      <c r="Q50" s="464"/>
      <c r="R50" s="464"/>
      <c r="S50" s="464"/>
    </row>
    <row r="51" spans="1:19" s="142" customFormat="1" x14ac:dyDescent="0.25">
      <c r="A51" s="464"/>
      <c r="B51" s="464"/>
      <c r="C51" s="464"/>
      <c r="D51" s="464"/>
      <c r="E51" s="464"/>
      <c r="F51" s="464"/>
      <c r="G51" s="464"/>
      <c r="H51" s="464"/>
      <c r="I51" s="464"/>
      <c r="J51" s="464"/>
      <c r="K51" s="464"/>
      <c r="L51" s="464"/>
      <c r="M51" s="464"/>
      <c r="N51" s="464"/>
      <c r="O51" s="464"/>
      <c r="P51" s="464"/>
      <c r="Q51" s="464"/>
      <c r="R51" s="464"/>
      <c r="S51" s="464"/>
    </row>
    <row r="52" spans="1:19" s="142" customFormat="1" x14ac:dyDescent="0.25">
      <c r="A52" s="464"/>
      <c r="B52" s="464"/>
      <c r="C52" s="464"/>
      <c r="D52" s="464"/>
      <c r="E52" s="464"/>
      <c r="F52" s="464"/>
      <c r="G52" s="464"/>
      <c r="H52" s="464"/>
      <c r="I52" s="464"/>
      <c r="J52" s="464"/>
      <c r="K52" s="464"/>
      <c r="L52" s="464"/>
      <c r="M52" s="464"/>
      <c r="N52" s="464"/>
      <c r="O52" s="464"/>
      <c r="P52" s="464"/>
      <c r="Q52" s="464"/>
      <c r="R52" s="464"/>
      <c r="S52" s="464"/>
    </row>
    <row r="53" spans="1:19" s="142" customFormat="1" x14ac:dyDescent="0.25">
      <c r="A53" s="464"/>
      <c r="B53" s="464"/>
      <c r="C53" s="464"/>
      <c r="D53" s="464"/>
      <c r="E53" s="464"/>
      <c r="F53" s="464"/>
      <c r="G53" s="464"/>
      <c r="H53" s="464"/>
      <c r="I53" s="464"/>
      <c r="J53" s="464"/>
      <c r="K53" s="464"/>
      <c r="L53" s="464"/>
      <c r="M53" s="464"/>
      <c r="N53" s="464"/>
      <c r="O53" s="464"/>
      <c r="P53" s="464"/>
      <c r="Q53" s="464"/>
      <c r="R53" s="464"/>
      <c r="S53" s="464"/>
    </row>
    <row r="54" spans="1:19" s="142" customFormat="1" x14ac:dyDescent="0.25">
      <c r="A54" s="464"/>
      <c r="B54" s="464"/>
      <c r="C54" s="464"/>
      <c r="D54" s="464"/>
      <c r="E54" s="464"/>
      <c r="F54" s="464"/>
      <c r="G54" s="464"/>
      <c r="H54" s="464"/>
      <c r="I54" s="464"/>
      <c r="J54" s="464"/>
      <c r="K54" s="464"/>
      <c r="L54" s="464"/>
      <c r="M54" s="464"/>
      <c r="N54" s="464"/>
      <c r="O54" s="464"/>
      <c r="P54" s="464"/>
      <c r="Q54" s="464"/>
      <c r="R54" s="464"/>
      <c r="S54" s="464"/>
    </row>
    <row r="55" spans="1:19" s="142" customFormat="1" x14ac:dyDescent="0.25">
      <c r="A55" s="464"/>
      <c r="B55" s="464"/>
      <c r="C55" s="464"/>
      <c r="D55" s="464"/>
      <c r="E55" s="464"/>
      <c r="F55" s="464"/>
      <c r="G55" s="464"/>
      <c r="H55" s="464"/>
      <c r="I55" s="464"/>
      <c r="J55" s="464"/>
      <c r="K55" s="464"/>
      <c r="L55" s="464"/>
      <c r="M55" s="464"/>
      <c r="N55" s="464"/>
      <c r="O55" s="464"/>
      <c r="P55" s="464"/>
      <c r="Q55" s="464"/>
      <c r="R55" s="464"/>
      <c r="S55" s="464"/>
    </row>
    <row r="56" spans="1:19" s="142" customFormat="1" x14ac:dyDescent="0.25">
      <c r="A56" s="464"/>
      <c r="B56" s="464"/>
      <c r="C56" s="464"/>
      <c r="D56" s="464"/>
      <c r="E56" s="464"/>
      <c r="F56" s="464"/>
      <c r="G56" s="464"/>
      <c r="H56" s="464"/>
      <c r="I56" s="464"/>
      <c r="J56" s="464"/>
      <c r="K56" s="464"/>
      <c r="L56" s="464"/>
      <c r="M56" s="464"/>
      <c r="N56" s="464"/>
      <c r="O56" s="464"/>
      <c r="P56" s="464"/>
      <c r="Q56" s="464"/>
      <c r="R56" s="464"/>
      <c r="S56" s="464"/>
    </row>
    <row r="57" spans="1:19" s="142" customFormat="1" x14ac:dyDescent="0.25">
      <c r="A57" s="464"/>
      <c r="B57" s="464"/>
      <c r="C57" s="464"/>
      <c r="D57" s="464"/>
      <c r="E57" s="464"/>
      <c r="F57" s="464"/>
      <c r="G57" s="464"/>
      <c r="H57" s="464"/>
      <c r="I57" s="464"/>
      <c r="J57" s="464"/>
      <c r="K57" s="464"/>
      <c r="L57" s="464"/>
      <c r="M57" s="464"/>
      <c r="N57" s="464"/>
      <c r="O57" s="464"/>
      <c r="P57" s="464"/>
      <c r="Q57" s="464"/>
      <c r="R57" s="464"/>
      <c r="S57" s="464"/>
    </row>
    <row r="58" spans="1:19" s="142" customFormat="1" x14ac:dyDescent="0.25">
      <c r="A58" s="464"/>
      <c r="B58" s="464"/>
      <c r="C58" s="464"/>
      <c r="D58" s="464"/>
      <c r="E58" s="464"/>
      <c r="F58" s="464"/>
      <c r="G58" s="464"/>
      <c r="H58" s="464"/>
      <c r="I58" s="464"/>
      <c r="J58" s="464"/>
      <c r="K58" s="464"/>
      <c r="L58" s="464"/>
      <c r="M58" s="464"/>
      <c r="N58" s="464"/>
      <c r="O58" s="464"/>
      <c r="P58" s="464"/>
      <c r="Q58" s="464"/>
      <c r="R58" s="464"/>
      <c r="S58" s="464"/>
    </row>
    <row r="59" spans="1:19" s="142" customFormat="1" x14ac:dyDescent="0.25">
      <c r="A59" s="464"/>
      <c r="B59" s="464"/>
      <c r="C59" s="464"/>
      <c r="D59" s="464"/>
      <c r="E59" s="464"/>
      <c r="F59" s="464"/>
      <c r="G59" s="464"/>
      <c r="H59" s="464"/>
      <c r="I59" s="464"/>
      <c r="J59" s="464"/>
      <c r="K59" s="464"/>
      <c r="L59" s="464"/>
      <c r="M59" s="464"/>
      <c r="N59" s="464"/>
      <c r="O59" s="464"/>
      <c r="P59" s="464"/>
      <c r="Q59" s="464"/>
      <c r="R59" s="464"/>
      <c r="S59" s="464"/>
    </row>
    <row r="60" spans="1:19" s="142" customFormat="1" x14ac:dyDescent="0.25">
      <c r="A60" s="464"/>
      <c r="B60" s="464"/>
      <c r="C60" s="464"/>
      <c r="D60" s="464"/>
      <c r="E60" s="464"/>
      <c r="F60" s="464"/>
      <c r="G60" s="464"/>
      <c r="H60" s="464"/>
      <c r="I60" s="464"/>
      <c r="J60" s="464"/>
      <c r="K60" s="464"/>
      <c r="L60" s="464"/>
      <c r="M60" s="464"/>
      <c r="N60" s="464"/>
      <c r="O60" s="464"/>
      <c r="P60" s="464"/>
      <c r="Q60" s="464"/>
      <c r="R60" s="464"/>
      <c r="S60" s="464"/>
    </row>
    <row r="61" spans="1:19" s="142" customFormat="1" x14ac:dyDescent="0.25">
      <c r="A61" s="464"/>
      <c r="B61" s="464"/>
      <c r="C61" s="464"/>
      <c r="D61" s="464"/>
      <c r="E61" s="464"/>
      <c r="F61" s="464"/>
      <c r="G61" s="464"/>
      <c r="H61" s="464"/>
      <c r="I61" s="464"/>
      <c r="J61" s="464"/>
      <c r="K61" s="464"/>
      <c r="L61" s="464"/>
      <c r="M61" s="464"/>
      <c r="N61" s="464"/>
      <c r="O61" s="464"/>
      <c r="P61" s="464"/>
      <c r="Q61" s="464"/>
      <c r="R61" s="464"/>
      <c r="S61" s="464"/>
    </row>
    <row r="62" spans="1:19" s="142" customFormat="1" x14ac:dyDescent="0.25">
      <c r="A62" s="464"/>
      <c r="B62" s="464"/>
      <c r="C62" s="464"/>
      <c r="D62" s="464"/>
      <c r="E62" s="464"/>
      <c r="F62" s="464"/>
      <c r="G62" s="464"/>
      <c r="H62" s="464"/>
      <c r="I62" s="464"/>
      <c r="J62" s="464"/>
      <c r="K62" s="464"/>
      <c r="L62" s="464"/>
      <c r="M62" s="464"/>
      <c r="N62" s="464"/>
      <c r="O62" s="464"/>
      <c r="P62" s="464"/>
      <c r="Q62" s="464"/>
      <c r="R62" s="464"/>
      <c r="S62" s="464"/>
    </row>
    <row r="63" spans="1:19" s="142" customFormat="1" x14ac:dyDescent="0.25">
      <c r="A63" s="464"/>
      <c r="B63" s="464"/>
      <c r="C63" s="464"/>
      <c r="D63" s="464"/>
      <c r="E63" s="464"/>
      <c r="F63" s="464"/>
      <c r="G63" s="464"/>
      <c r="H63" s="464"/>
      <c r="I63" s="464"/>
      <c r="J63" s="464"/>
      <c r="K63" s="464"/>
      <c r="L63" s="464"/>
      <c r="M63" s="464"/>
      <c r="N63" s="464"/>
      <c r="O63" s="464"/>
      <c r="P63" s="464"/>
      <c r="Q63" s="464"/>
      <c r="R63" s="464"/>
      <c r="S63" s="464"/>
    </row>
    <row r="64" spans="1:19" s="142" customFormat="1" x14ac:dyDescent="0.25">
      <c r="A64" s="464"/>
      <c r="B64" s="464"/>
      <c r="C64" s="464"/>
      <c r="D64" s="464"/>
      <c r="E64" s="464"/>
      <c r="F64" s="464"/>
      <c r="G64" s="464"/>
      <c r="H64" s="464"/>
      <c r="I64" s="464"/>
      <c r="J64" s="464"/>
      <c r="K64" s="464"/>
      <c r="L64" s="464"/>
      <c r="M64" s="464"/>
      <c r="N64" s="464"/>
      <c r="O64" s="464"/>
      <c r="P64" s="464"/>
      <c r="Q64" s="464"/>
      <c r="R64" s="464"/>
      <c r="S64" s="464"/>
    </row>
    <row r="65" spans="1:19" s="142" customFormat="1" x14ac:dyDescent="0.25">
      <c r="A65" s="464"/>
      <c r="B65" s="464"/>
      <c r="C65" s="464"/>
      <c r="D65" s="464"/>
      <c r="E65" s="464"/>
      <c r="F65" s="464"/>
      <c r="G65" s="464"/>
      <c r="H65" s="464"/>
      <c r="I65" s="464"/>
      <c r="J65" s="464"/>
      <c r="K65" s="464"/>
      <c r="L65" s="464"/>
      <c r="M65" s="464"/>
      <c r="N65" s="464"/>
      <c r="O65" s="464"/>
      <c r="P65" s="464"/>
      <c r="Q65" s="464"/>
      <c r="R65" s="464"/>
      <c r="S65" s="464"/>
    </row>
    <row r="66" spans="1:19" s="142" customFormat="1" x14ac:dyDescent="0.25">
      <c r="A66" s="464"/>
      <c r="B66" s="464"/>
      <c r="C66" s="464"/>
      <c r="D66" s="464"/>
      <c r="E66" s="464"/>
      <c r="F66" s="464"/>
      <c r="G66" s="464"/>
      <c r="H66" s="464"/>
      <c r="I66" s="464"/>
      <c r="J66" s="464"/>
      <c r="K66" s="464"/>
      <c r="L66" s="464"/>
      <c r="M66" s="464"/>
      <c r="N66" s="464"/>
      <c r="O66" s="464"/>
      <c r="P66" s="464"/>
      <c r="Q66" s="464"/>
      <c r="R66" s="464"/>
      <c r="S66" s="464"/>
    </row>
    <row r="67" spans="1:19" s="142" customFormat="1" x14ac:dyDescent="0.25">
      <c r="A67" s="464"/>
      <c r="B67" s="464"/>
      <c r="C67" s="464"/>
      <c r="D67" s="464"/>
      <c r="E67" s="464"/>
      <c r="F67" s="464"/>
      <c r="G67" s="464"/>
      <c r="H67" s="464"/>
      <c r="I67" s="464"/>
      <c r="J67" s="464"/>
      <c r="K67" s="464"/>
      <c r="L67" s="464"/>
      <c r="M67" s="464"/>
      <c r="N67" s="464"/>
      <c r="O67" s="464"/>
      <c r="P67" s="464"/>
      <c r="Q67" s="464"/>
      <c r="R67" s="464"/>
      <c r="S67" s="464"/>
    </row>
    <row r="68" spans="1:19" s="142" customFormat="1" x14ac:dyDescent="0.25">
      <c r="A68" s="464"/>
      <c r="B68" s="464"/>
      <c r="C68" s="464"/>
      <c r="D68" s="464"/>
      <c r="E68" s="464"/>
      <c r="F68" s="464"/>
      <c r="G68" s="464"/>
      <c r="H68" s="464"/>
      <c r="I68" s="464"/>
      <c r="J68" s="464"/>
      <c r="K68" s="464"/>
      <c r="L68" s="464"/>
      <c r="M68" s="464"/>
      <c r="N68" s="464"/>
      <c r="O68" s="464"/>
      <c r="P68" s="464"/>
      <c r="Q68" s="464"/>
      <c r="R68" s="464"/>
      <c r="S68" s="464"/>
    </row>
    <row r="69" spans="1:19" x14ac:dyDescent="0.25">
      <c r="A69" s="464"/>
      <c r="B69" s="464"/>
      <c r="C69" s="464"/>
      <c r="D69" s="464"/>
      <c r="E69" s="464"/>
      <c r="F69" s="464"/>
      <c r="G69" s="464"/>
    </row>
    <row r="70" spans="1:19" x14ac:dyDescent="0.25">
      <c r="A70" s="464"/>
      <c r="B70" s="464"/>
      <c r="C70" s="464"/>
      <c r="D70" s="464"/>
      <c r="E70" s="464"/>
      <c r="F70" s="464"/>
      <c r="G70" s="464"/>
    </row>
    <row r="71" spans="1:19" x14ac:dyDescent="0.25">
      <c r="A71" s="464"/>
      <c r="B71" s="464"/>
      <c r="C71" s="464"/>
      <c r="D71" s="464"/>
      <c r="E71" s="464"/>
      <c r="F71" s="464"/>
      <c r="G71" s="464"/>
    </row>
    <row r="72" spans="1:19" x14ac:dyDescent="0.25">
      <c r="A72" s="464"/>
      <c r="B72" s="464"/>
      <c r="C72" s="464"/>
      <c r="D72" s="464"/>
      <c r="E72" s="464"/>
      <c r="F72" s="464"/>
      <c r="G72" s="464"/>
    </row>
    <row r="73" spans="1:19" x14ac:dyDescent="0.25">
      <c r="A73" s="464"/>
      <c r="B73" s="464"/>
      <c r="C73" s="464"/>
      <c r="D73" s="464"/>
      <c r="E73" s="464"/>
      <c r="F73" s="464"/>
      <c r="G73" s="464"/>
    </row>
    <row r="74" spans="1:19" x14ac:dyDescent="0.25">
      <c r="A74" s="464"/>
      <c r="B74" s="464"/>
      <c r="C74" s="464"/>
      <c r="D74" s="464"/>
      <c r="E74" s="464"/>
      <c r="F74" s="464"/>
      <c r="G74" s="464"/>
    </row>
    <row r="75" spans="1:19" x14ac:dyDescent="0.25">
      <c r="A75" s="464"/>
      <c r="B75" s="464"/>
      <c r="C75" s="464"/>
      <c r="D75" s="464"/>
      <c r="E75" s="464"/>
      <c r="F75" s="464"/>
      <c r="G75" s="464"/>
    </row>
    <row r="76" spans="1:19" x14ac:dyDescent="0.25">
      <c r="A76" s="464"/>
      <c r="B76" s="464"/>
      <c r="C76" s="464"/>
      <c r="D76" s="464"/>
      <c r="E76" s="464"/>
      <c r="F76" s="464"/>
      <c r="G76" s="464"/>
    </row>
    <row r="77" spans="1:19" x14ac:dyDescent="0.25">
      <c r="A77" s="464"/>
      <c r="B77" s="464"/>
      <c r="C77" s="464"/>
      <c r="D77" s="464"/>
      <c r="E77" s="464"/>
      <c r="F77" s="464"/>
      <c r="G77" s="464"/>
    </row>
    <row r="78" spans="1:19" x14ac:dyDescent="0.25">
      <c r="A78" s="464"/>
      <c r="B78" s="464"/>
      <c r="C78" s="464"/>
      <c r="D78" s="464"/>
      <c r="E78" s="464"/>
      <c r="F78" s="464"/>
      <c r="G78" s="464"/>
    </row>
    <row r="79" spans="1:19" x14ac:dyDescent="0.25">
      <c r="A79" s="464"/>
      <c r="B79" s="464"/>
      <c r="C79" s="464"/>
      <c r="D79" s="464"/>
      <c r="E79" s="464"/>
      <c r="F79" s="464"/>
      <c r="G79" s="464"/>
    </row>
    <row r="80" spans="1:19" x14ac:dyDescent="0.25">
      <c r="A80" s="464"/>
      <c r="B80" s="464"/>
      <c r="C80" s="464"/>
      <c r="D80" s="464"/>
      <c r="E80" s="464"/>
      <c r="F80" s="464"/>
      <c r="G80" s="464"/>
    </row>
    <row r="81" spans="1:7" x14ac:dyDescent="0.25">
      <c r="A81" s="464"/>
      <c r="B81" s="464"/>
      <c r="C81" s="464"/>
      <c r="D81" s="464"/>
      <c r="E81" s="464"/>
      <c r="F81" s="464"/>
      <c r="G81" s="464"/>
    </row>
    <row r="82" spans="1:7" x14ac:dyDescent="0.25">
      <c r="A82" s="464"/>
      <c r="B82" s="464"/>
      <c r="C82" s="464"/>
      <c r="D82" s="464"/>
      <c r="E82" s="464"/>
      <c r="F82" s="464"/>
      <c r="G82" s="464"/>
    </row>
    <row r="83" spans="1:7" x14ac:dyDescent="0.25">
      <c r="A83" s="464"/>
      <c r="B83" s="464"/>
      <c r="C83" s="464"/>
      <c r="D83" s="464"/>
      <c r="E83" s="464"/>
      <c r="F83" s="464"/>
      <c r="G83" s="464"/>
    </row>
    <row r="84" spans="1:7" x14ac:dyDescent="0.25">
      <c r="A84" s="464"/>
      <c r="B84" s="464"/>
      <c r="C84" s="464"/>
      <c r="D84" s="464"/>
      <c r="E84" s="464"/>
      <c r="F84" s="464"/>
      <c r="G84" s="464"/>
    </row>
  </sheetData>
  <mergeCells count="5">
    <mergeCell ref="D48:E48"/>
    <mergeCell ref="C4:E4"/>
    <mergeCell ref="C6:E6"/>
    <mergeCell ref="G14:H16"/>
    <mergeCell ref="B2:E2"/>
  </mergeCells>
  <conditionalFormatting sqref="D41">
    <cfRule type="expression" dxfId="0" priority="1">
      <formula>$D$41&lt;$D$46</formula>
    </cfRule>
  </conditionalFormatting>
  <pageMargins left="0.7" right="0.7" top="0.75" bottom="0.75" header="0.3" footer="0.3"/>
  <pageSetup scale="80"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C26"/>
  <sheetViews>
    <sheetView workbookViewId="0">
      <selection activeCell="C13" sqref="C13"/>
    </sheetView>
  </sheetViews>
  <sheetFormatPr defaultColWidth="8.81640625" defaultRowHeight="12.5" x14ac:dyDescent="0.25"/>
  <cols>
    <col min="1" max="1" width="22" style="73" bestFit="1" customWidth="1"/>
    <col min="2" max="2" width="19.453125" style="73" bestFit="1" customWidth="1"/>
    <col min="3" max="3" width="17.1796875" style="73" customWidth="1"/>
    <col min="4" max="16384" width="8.81640625" style="73"/>
  </cols>
  <sheetData>
    <row r="1" spans="1:3" ht="14.5" x14ac:dyDescent="0.35">
      <c r="A1" s="123" t="s">
        <v>96</v>
      </c>
      <c r="B1" s="124">
        <f>Summary!D3</f>
        <v>0</v>
      </c>
      <c r="C1" s="124"/>
    </row>
    <row r="2" spans="1:3" ht="14.5" x14ac:dyDescent="0.35">
      <c r="A2" s="123" t="s">
        <v>97</v>
      </c>
      <c r="B2" s="124">
        <f>Summary!D4</f>
        <v>0</v>
      </c>
      <c r="C2" s="124"/>
    </row>
    <row r="3" spans="1:3" ht="14.5" x14ac:dyDescent="0.35">
      <c r="A3" s="123" t="s">
        <v>98</v>
      </c>
      <c r="B3" s="124">
        <f>Summary!D5</f>
        <v>0</v>
      </c>
      <c r="C3" s="124"/>
    </row>
    <row r="4" spans="1:3" ht="14.5" x14ac:dyDescent="0.35">
      <c r="A4" s="123" t="s">
        <v>99</v>
      </c>
      <c r="B4" s="125">
        <f>Summary!D6</f>
        <v>0</v>
      </c>
      <c r="C4" s="125"/>
    </row>
    <row r="5" spans="1:3" ht="14.5" x14ac:dyDescent="0.35">
      <c r="A5" s="126" t="s">
        <v>100</v>
      </c>
      <c r="B5" s="137"/>
      <c r="C5" s="124"/>
    </row>
    <row r="7" spans="1:3" ht="14.5" x14ac:dyDescent="0.35">
      <c r="A7" s="127" t="s">
        <v>101</v>
      </c>
      <c r="B7" s="128" t="s">
        <v>102</v>
      </c>
      <c r="C7" s="127" t="s">
        <v>103</v>
      </c>
    </row>
    <row r="8" spans="1:3" ht="14.5" x14ac:dyDescent="0.35">
      <c r="A8" s="129" t="s">
        <v>104</v>
      </c>
      <c r="B8" s="130" t="s">
        <v>105</v>
      </c>
      <c r="C8" s="131">
        <f>ROUND(Summary!R39,0)</f>
        <v>273767</v>
      </c>
    </row>
    <row r="9" spans="1:3" ht="14.5" x14ac:dyDescent="0.35">
      <c r="A9" s="129" t="s">
        <v>106</v>
      </c>
      <c r="B9" s="130" t="s">
        <v>107</v>
      </c>
      <c r="C9" s="131">
        <f>ROUND(Summary!R41,0)</f>
        <v>23400</v>
      </c>
    </row>
    <row r="10" spans="1:3" ht="14.5" x14ac:dyDescent="0.35">
      <c r="A10" s="129" t="s">
        <v>108</v>
      </c>
      <c r="B10" s="130" t="s">
        <v>109</v>
      </c>
      <c r="C10" s="131">
        <f>ROUND(Summary!R66,0)</f>
        <v>0</v>
      </c>
    </row>
    <row r="11" spans="1:3" ht="14.5" x14ac:dyDescent="0.35">
      <c r="A11" s="129" t="s">
        <v>110</v>
      </c>
      <c r="B11" s="130" t="s">
        <v>111</v>
      </c>
      <c r="C11" s="131">
        <f>ROUND(Summary!R71+Summary!R76+Summary!R77,0)</f>
        <v>6290</v>
      </c>
    </row>
    <row r="12" spans="1:3" ht="14.5" x14ac:dyDescent="0.35">
      <c r="A12" s="129" t="s">
        <v>112</v>
      </c>
      <c r="B12" s="130" t="s">
        <v>113</v>
      </c>
      <c r="C12" s="131">
        <f>ROUND(Summary!R72,0)</f>
        <v>13534</v>
      </c>
    </row>
    <row r="13" spans="1:3" ht="14.5" x14ac:dyDescent="0.35">
      <c r="A13" s="129" t="s">
        <v>114</v>
      </c>
      <c r="B13" s="130" t="s">
        <v>115</v>
      </c>
      <c r="C13" s="131">
        <f>ROUND(SUM(Summary!R91:R95),0)</f>
        <v>90250</v>
      </c>
    </row>
    <row r="14" spans="1:3" ht="14.5" x14ac:dyDescent="0.35">
      <c r="A14" s="129" t="s">
        <v>116</v>
      </c>
      <c r="B14" s="130" t="s">
        <v>117</v>
      </c>
      <c r="C14" s="131">
        <f>ROUND(Summary!R81,0)</f>
        <v>0</v>
      </c>
    </row>
    <row r="15" spans="1:3" ht="14.5" x14ac:dyDescent="0.35">
      <c r="A15" s="129" t="s">
        <v>118</v>
      </c>
      <c r="B15" s="132"/>
      <c r="C15" s="131"/>
    </row>
    <row r="16" spans="1:3" ht="14.5" x14ac:dyDescent="0.35">
      <c r="A16" s="133" t="s">
        <v>119</v>
      </c>
      <c r="B16" s="130" t="s">
        <v>120</v>
      </c>
      <c r="C16" s="131">
        <f>ROUND(Summary!R87+Summary!R89,0)</f>
        <v>0</v>
      </c>
    </row>
    <row r="17" spans="1:3" ht="14.5" x14ac:dyDescent="0.35">
      <c r="A17" s="133" t="s">
        <v>121</v>
      </c>
      <c r="B17" s="130" t="s">
        <v>122</v>
      </c>
      <c r="C17" s="131">
        <f>ROUND(Summary!R88+Summary!R90,0)</f>
        <v>0</v>
      </c>
    </row>
    <row r="18" spans="1:3" ht="14.5" x14ac:dyDescent="0.35">
      <c r="A18" s="129" t="s">
        <v>34</v>
      </c>
      <c r="B18" s="132"/>
      <c r="C18" s="131"/>
    </row>
    <row r="19" spans="1:3" ht="14.5" x14ac:dyDescent="0.35">
      <c r="A19" s="129" t="s">
        <v>123</v>
      </c>
      <c r="B19" s="130" t="s">
        <v>124</v>
      </c>
      <c r="C19" s="131">
        <f>ROUND(Summary!R84,0)</f>
        <v>0</v>
      </c>
    </row>
    <row r="20" spans="1:3" ht="14.5" x14ac:dyDescent="0.35">
      <c r="A20" s="129" t="s">
        <v>125</v>
      </c>
      <c r="B20" s="130" t="s">
        <v>126</v>
      </c>
      <c r="C20" s="131">
        <f>ROUND(Summary!R82,0)</f>
        <v>0</v>
      </c>
    </row>
    <row r="21" spans="1:3" ht="14.5" x14ac:dyDescent="0.35">
      <c r="A21" s="129" t="s">
        <v>127</v>
      </c>
      <c r="B21" s="130" t="s">
        <v>128</v>
      </c>
      <c r="C21" s="131">
        <f>ROUND(Summary!R75+Summary!R83,0)</f>
        <v>0</v>
      </c>
    </row>
    <row r="22" spans="1:3" ht="14.5" x14ac:dyDescent="0.35">
      <c r="A22" s="129" t="s">
        <v>129</v>
      </c>
      <c r="B22" s="130" t="s">
        <v>130</v>
      </c>
      <c r="C22" s="131">
        <f>ROUND(Summary!R85+Summary!R96+Summary!R97+Summary!R78+Summary!R86,0)</f>
        <v>0</v>
      </c>
    </row>
    <row r="23" spans="1:3" ht="14.5" x14ac:dyDescent="0.35">
      <c r="A23" s="129" t="s">
        <v>131</v>
      </c>
      <c r="B23" s="132"/>
      <c r="C23" s="134">
        <f>SUM(C8:C22)</f>
        <v>407241</v>
      </c>
    </row>
    <row r="24" spans="1:3" ht="14.5" x14ac:dyDescent="0.35">
      <c r="A24" s="129" t="s">
        <v>38</v>
      </c>
      <c r="B24" s="130" t="s">
        <v>132</v>
      </c>
      <c r="C24" s="135">
        <f>ROUND(Summary!R106,0)</f>
        <v>168005</v>
      </c>
    </row>
    <row r="25" spans="1:3" ht="15" thickBot="1" x14ac:dyDescent="0.4">
      <c r="A25" s="129" t="s">
        <v>133</v>
      </c>
      <c r="B25" s="132"/>
      <c r="C25" s="136">
        <f>SUM(C23:C24)</f>
        <v>575246</v>
      </c>
    </row>
    <row r="26" spans="1:3" ht="13" thickTop="1" x14ac:dyDescent="0.25"/>
  </sheetData>
  <sheetProtection selectLockedCell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21</vt:i4>
      </vt:variant>
    </vt:vector>
  </HeadingPairs>
  <TitlesOfParts>
    <vt:vector size="28" baseType="lpstr">
      <vt:lpstr>Summary</vt:lpstr>
      <vt:lpstr>F&amp;A Calculation- Sponsor Funds </vt:lpstr>
      <vt:lpstr>F&amp;A Calculations - Cost Share</vt:lpstr>
      <vt:lpstr>Tuition</vt:lpstr>
      <vt:lpstr>Travel</vt:lpstr>
      <vt:lpstr>TFFA IDC Calculator</vt:lpstr>
      <vt:lpstr>SPA USE ONLY</vt:lpstr>
      <vt:lpstr>FA_RATE</vt:lpstr>
      <vt:lpstr>GroundTranspo</vt:lpstr>
      <vt:lpstr>mileage</vt:lpstr>
      <vt:lpstr>Negotiated</vt:lpstr>
      <vt:lpstr>OtherMTDC</vt:lpstr>
      <vt:lpstr>OtherTDC</vt:lpstr>
      <vt:lpstr>parking</vt:lpstr>
      <vt:lpstr>Summary!Print_Area</vt:lpstr>
      <vt:lpstr>'TFFA IDC Calculator'!Print_Area</vt:lpstr>
      <vt:lpstr>Tuition!Print_Area</vt:lpstr>
      <vt:lpstr>TFF_TDC</vt:lpstr>
      <vt:lpstr>Yr1TravelDom</vt:lpstr>
      <vt:lpstr>Yr1TravelIntl</vt:lpstr>
      <vt:lpstr>Yr2TravelDom</vt:lpstr>
      <vt:lpstr>Yr2TravelIntl</vt:lpstr>
      <vt:lpstr>Yr3TravelDom</vt:lpstr>
      <vt:lpstr>Yr3TravelIntl</vt:lpstr>
      <vt:lpstr>Yr4TravelDom</vt:lpstr>
      <vt:lpstr>Yr4TravelIntl</vt:lpstr>
      <vt:lpstr>Yr5TravelDom</vt:lpstr>
      <vt:lpstr>Yr5TravelIntl</vt:lpstr>
    </vt:vector>
  </TitlesOfParts>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 Alvarez</dc:creator>
  <cp:lastModifiedBy>jil</cp:lastModifiedBy>
  <cp:lastPrinted>2020-07-29T18:37:11Z</cp:lastPrinted>
  <dcterms:created xsi:type="dcterms:W3CDTF">2008-11-17T19:38:33Z</dcterms:created>
  <dcterms:modified xsi:type="dcterms:W3CDTF">2020-10-21T20:12:39Z</dcterms:modified>
</cp:coreProperties>
</file>