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workbookPr codeName="ThisWorkbook"/>
  <mc:AlternateContent xmlns:mc="http://schemas.openxmlformats.org/markup-compatibility/2006">
    <mc:Choice Requires="x15">
      <x15ac:absPath xmlns:x15ac="http://schemas.microsoft.com/office/spreadsheetml/2010/11/ac" url="C:\Users\jil\Documents\Research\repos\frmp-nsf-medium\budget\"/>
    </mc:Choice>
  </mc:AlternateContent>
  <xr:revisionPtr revIDLastSave="0" documentId="13_ncr:1_{158D1BFF-DFCB-48C1-8CF1-FC573E0B4273}" xr6:coauthVersionLast="45" xr6:coauthVersionMax="45" xr10:uidLastSave="{00000000-0000-0000-0000-000000000000}"/>
  <bookViews>
    <workbookView xWindow="-33170" yWindow="690" windowWidth="30660" windowHeight="18820" xr2:uid="{00000000-000D-0000-FFFF-FFFF00000000}"/>
  </bookViews>
  <sheets>
    <sheet name="NSF5GPG" sheetId="1" r:id="rId1"/>
    <sheet name="Tuition" sheetId="6" r:id="rId2"/>
    <sheet name="Module1" sheetId="2" state="veryHidden" r:id="rId3"/>
    <sheet name="F&amp;A Calculation- Sponsor Funds" sheetId="7" r:id="rId4"/>
    <sheet name="BA Upload" sheetId="5" r:id="rId5"/>
    <sheet name="WD Load - Input and Instruction" sheetId="8" r:id="rId6"/>
    <sheet name="WD Load- Output Sheet 1" sheetId="9" r:id="rId7"/>
    <sheet name="WD Load - Output Sheet 2" sheetId="10" r:id="rId8"/>
  </sheets>
  <definedNames>
    <definedName name="_YR3">NSF5GPG!$F$9:$F$9</definedName>
    <definedName name="_YR4">NSF5GPG!$F$10:$F$10</definedName>
    <definedName name="_YR5">NSF5GPG!$F$11:$F$11</definedName>
    <definedName name="FAC">NSF5GPG!$L$9:$L$9</definedName>
    <definedName name="GRAD">NSF5GPG!$L$12:$L$12</definedName>
    <definedName name="grad1">NSF5GPG!$C$40</definedName>
    <definedName name="grad2">NSF5GPG!$R$40</definedName>
    <definedName name="grad3">NSF5GPG!$AG$40</definedName>
    <definedName name="grad4">NSF5GPG!$AV$40</definedName>
    <definedName name="grad5">NSF5GPG!$BK$40</definedName>
    <definedName name="HOUR">NSF5GPG!$L$15:$L$15</definedName>
    <definedName name="MERIT">NSF5GPG!$L$11:$L$11</definedName>
    <definedName name="POST">NSF5GPG!$L$13:$L$13</definedName>
    <definedName name="_xlnm.Print_Area" localSheetId="0">NSF5GPG!$A$20:$CL$89</definedName>
    <definedName name="_xlnm.Print_Area" localSheetId="1">Tuition!$A$1:$S$45</definedName>
    <definedName name="PS">NSF5GPG!$L$10:$L$10</definedName>
    <definedName name="ug">NSF5GPG!$L$14</definedName>
    <definedName name="years">NSF5GPG!$G$16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40" i="1" l="1"/>
  <c r="AA71" i="1"/>
  <c r="AB40" i="1"/>
  <c r="R40" i="1"/>
  <c r="AB41" i="1"/>
  <c r="G21" i="10" l="1"/>
  <c r="G20" i="10"/>
  <c r="G19" i="10"/>
  <c r="G18" i="10"/>
  <c r="G17" i="10"/>
  <c r="G16" i="10"/>
  <c r="G15" i="10"/>
  <c r="G14" i="10"/>
  <c r="G13" i="10"/>
  <c r="G12" i="10"/>
  <c r="G11" i="10"/>
  <c r="G10" i="10"/>
  <c r="G9" i="10"/>
  <c r="G8" i="10"/>
  <c r="G7" i="10"/>
  <c r="G6" i="10"/>
  <c r="K6" i="9" l="1"/>
  <c r="U7" i="10"/>
  <c r="U8" i="10"/>
  <c r="U9" i="10"/>
  <c r="U10" i="10"/>
  <c r="U11" i="10"/>
  <c r="U12" i="10"/>
  <c r="U13" i="10"/>
  <c r="U14" i="10"/>
  <c r="U15" i="10"/>
  <c r="U16" i="10"/>
  <c r="U17" i="10"/>
  <c r="U18" i="10"/>
  <c r="U19" i="10"/>
  <c r="U20" i="10"/>
  <c r="U21" i="10"/>
  <c r="U6" i="10"/>
  <c r="S7" i="10"/>
  <c r="S8" i="10"/>
  <c r="S9" i="10"/>
  <c r="S10" i="10"/>
  <c r="S11" i="10"/>
  <c r="S12" i="10"/>
  <c r="S13" i="10"/>
  <c r="S14" i="10"/>
  <c r="S15" i="10"/>
  <c r="S16" i="10"/>
  <c r="S17" i="10"/>
  <c r="S18" i="10"/>
  <c r="S19" i="10"/>
  <c r="S20" i="10"/>
  <c r="S21" i="10"/>
  <c r="S6" i="10"/>
  <c r="R7" i="10"/>
  <c r="R8" i="10"/>
  <c r="R9" i="10"/>
  <c r="R10" i="10"/>
  <c r="R11" i="10"/>
  <c r="R12" i="10"/>
  <c r="R13" i="10"/>
  <c r="R14" i="10"/>
  <c r="R15" i="10"/>
  <c r="R16" i="10"/>
  <c r="R17" i="10"/>
  <c r="R18" i="10"/>
  <c r="R19" i="10"/>
  <c r="R20" i="10"/>
  <c r="R21" i="10"/>
  <c r="R6" i="10"/>
  <c r="Q7" i="10"/>
  <c r="Q8" i="10"/>
  <c r="Q9" i="10"/>
  <c r="Q10" i="10"/>
  <c r="Q11" i="10"/>
  <c r="Q12" i="10"/>
  <c r="Q13" i="10"/>
  <c r="Q14" i="10"/>
  <c r="Q15" i="10"/>
  <c r="Q16" i="10"/>
  <c r="Q17" i="10"/>
  <c r="Q18" i="10"/>
  <c r="Q19" i="10"/>
  <c r="Q20" i="10"/>
  <c r="Q21" i="10"/>
  <c r="Q6" i="10"/>
  <c r="P21" i="10"/>
  <c r="P7" i="10"/>
  <c r="P8" i="10"/>
  <c r="P9" i="10"/>
  <c r="P10" i="10"/>
  <c r="P11" i="10"/>
  <c r="P12" i="10"/>
  <c r="P13" i="10"/>
  <c r="P14" i="10"/>
  <c r="P15" i="10"/>
  <c r="P16" i="10"/>
  <c r="P17" i="10"/>
  <c r="P18" i="10"/>
  <c r="P19" i="10"/>
  <c r="P20" i="10"/>
  <c r="P6" i="10"/>
  <c r="O7" i="10"/>
  <c r="O8" i="10"/>
  <c r="O9" i="10"/>
  <c r="O10" i="10"/>
  <c r="O11" i="10"/>
  <c r="O12" i="10"/>
  <c r="O13" i="10"/>
  <c r="O14" i="10"/>
  <c r="O15" i="10"/>
  <c r="O16" i="10"/>
  <c r="O17" i="10"/>
  <c r="O18" i="10"/>
  <c r="O19" i="10"/>
  <c r="O20" i="10"/>
  <c r="O21" i="10"/>
  <c r="O6" i="10"/>
  <c r="N7" i="10"/>
  <c r="N8" i="10"/>
  <c r="N9" i="10"/>
  <c r="N10" i="10"/>
  <c r="N11" i="10"/>
  <c r="N12" i="10"/>
  <c r="N13" i="10"/>
  <c r="N14" i="10"/>
  <c r="N15" i="10"/>
  <c r="N16" i="10"/>
  <c r="N17" i="10"/>
  <c r="N18" i="10"/>
  <c r="N19" i="10"/>
  <c r="N20" i="10"/>
  <c r="N21" i="10"/>
  <c r="N6" i="10"/>
  <c r="K18" i="10"/>
  <c r="J6" i="9"/>
  <c r="J24" i="5"/>
  <c r="L18" i="10" s="1"/>
  <c r="I24" i="5"/>
  <c r="J20" i="5"/>
  <c r="I20" i="5"/>
  <c r="Q279" i="6" l="1"/>
  <c r="Q280" i="6" s="1"/>
  <c r="Q281" i="6" s="1"/>
  <c r="Q282" i="6" s="1"/>
  <c r="Q283" i="6" s="1"/>
  <c r="Q284" i="6" s="1"/>
  <c r="Q285" i="6" s="1"/>
  <c r="O278" i="6"/>
  <c r="O279" i="6" s="1"/>
  <c r="O280" i="6" s="1"/>
  <c r="O281" i="6" s="1"/>
  <c r="O282" i="6" s="1"/>
  <c r="O283" i="6" s="1"/>
  <c r="O284" i="6" s="1"/>
  <c r="O285" i="6" s="1"/>
  <c r="M278" i="6"/>
  <c r="M279" i="6" s="1"/>
  <c r="M280" i="6" s="1"/>
  <c r="M281" i="6" s="1"/>
  <c r="M282" i="6" s="1"/>
  <c r="M283" i="6" s="1"/>
  <c r="M284" i="6" s="1"/>
  <c r="M285" i="6" s="1"/>
  <c r="K278" i="6"/>
  <c r="K279" i="6" s="1"/>
  <c r="K280" i="6" s="1"/>
  <c r="K281" i="6" s="1"/>
  <c r="K282" i="6" s="1"/>
  <c r="K283" i="6" s="1"/>
  <c r="K284" i="6" s="1"/>
  <c r="K285" i="6" s="1"/>
  <c r="Q270" i="6"/>
  <c r="Q271" i="6" s="1"/>
  <c r="Q272" i="6" s="1"/>
  <c r="Q273" i="6" s="1"/>
  <c r="Q274" i="6" s="1"/>
  <c r="Q275" i="6" s="1"/>
  <c r="Q276" i="6" s="1"/>
  <c r="O269" i="6"/>
  <c r="M269" i="6"/>
  <c r="K269" i="6"/>
  <c r="Q261" i="6"/>
  <c r="Q262" i="6" s="1"/>
  <c r="Q263" i="6" s="1"/>
  <c r="Q264" i="6" s="1"/>
  <c r="Q265" i="6" s="1"/>
  <c r="Q266" i="6" s="1"/>
  <c r="Q267" i="6" s="1"/>
  <c r="O260" i="6"/>
  <c r="O261" i="6" s="1"/>
  <c r="O262" i="6" s="1"/>
  <c r="O263" i="6" s="1"/>
  <c r="O264" i="6" s="1"/>
  <c r="O265" i="6" s="1"/>
  <c r="O266" i="6" s="1"/>
  <c r="O267" i="6" s="1"/>
  <c r="M260" i="6"/>
  <c r="M261" i="6" s="1"/>
  <c r="M262" i="6" s="1"/>
  <c r="M263" i="6" s="1"/>
  <c r="M264" i="6" s="1"/>
  <c r="M265" i="6" s="1"/>
  <c r="M266" i="6" s="1"/>
  <c r="M267" i="6" s="1"/>
  <c r="K260" i="6"/>
  <c r="K261" i="6" s="1"/>
  <c r="K262" i="6" s="1"/>
  <c r="K263" i="6" s="1"/>
  <c r="K264" i="6" s="1"/>
  <c r="K265" i="6" s="1"/>
  <c r="K266" i="6" s="1"/>
  <c r="K267" i="6" s="1"/>
  <c r="Q250" i="6"/>
  <c r="Q251" i="6" s="1"/>
  <c r="Q252" i="6" s="1"/>
  <c r="Q253" i="6" s="1"/>
  <c r="Q254" i="6" s="1"/>
  <c r="Q255" i="6" s="1"/>
  <c r="Q256" i="6" s="1"/>
  <c r="O249" i="6"/>
  <c r="O250" i="6" s="1"/>
  <c r="O251" i="6" s="1"/>
  <c r="O252" i="6" s="1"/>
  <c r="O253" i="6" s="1"/>
  <c r="O254" i="6" s="1"/>
  <c r="O255" i="6" s="1"/>
  <c r="O256" i="6" s="1"/>
  <c r="M249" i="6"/>
  <c r="M250" i="6" s="1"/>
  <c r="K249" i="6"/>
  <c r="Q241" i="6"/>
  <c r="O241" i="6" s="1"/>
  <c r="O240" i="6"/>
  <c r="M240" i="6"/>
  <c r="K240" i="6"/>
  <c r="Q232" i="6"/>
  <c r="Q233" i="6" s="1"/>
  <c r="Q234" i="6" s="1"/>
  <c r="Q235" i="6" s="1"/>
  <c r="Q236" i="6" s="1"/>
  <c r="Q237" i="6" s="1"/>
  <c r="Q238" i="6" s="1"/>
  <c r="O231" i="6"/>
  <c r="O232" i="6" s="1"/>
  <c r="O233" i="6" s="1"/>
  <c r="O234" i="6" s="1"/>
  <c r="O235" i="6" s="1"/>
  <c r="O236" i="6" s="1"/>
  <c r="O237" i="6" s="1"/>
  <c r="O238" i="6" s="1"/>
  <c r="M231" i="6"/>
  <c r="M232" i="6" s="1"/>
  <c r="M233" i="6" s="1"/>
  <c r="M234" i="6" s="1"/>
  <c r="M235" i="6" s="1"/>
  <c r="M236" i="6" s="1"/>
  <c r="M237" i="6" s="1"/>
  <c r="M238" i="6" s="1"/>
  <c r="K231" i="6"/>
  <c r="K232" i="6" s="1"/>
  <c r="K233" i="6" s="1"/>
  <c r="K234" i="6" s="1"/>
  <c r="K235" i="6" s="1"/>
  <c r="K236" i="6" s="1"/>
  <c r="K237" i="6" s="1"/>
  <c r="K238" i="6" s="1"/>
  <c r="Q220" i="6"/>
  <c r="Q221" i="6" s="1"/>
  <c r="Q222" i="6" s="1"/>
  <c r="Q223" i="6" s="1"/>
  <c r="Q224" i="6" s="1"/>
  <c r="Q225" i="6" s="1"/>
  <c r="Q226" i="6" s="1"/>
  <c r="O219" i="6"/>
  <c r="O220" i="6" s="1"/>
  <c r="O221" i="6" s="1"/>
  <c r="O222" i="6" s="1"/>
  <c r="O223" i="6" s="1"/>
  <c r="O224" i="6" s="1"/>
  <c r="O225" i="6" s="1"/>
  <c r="O226" i="6" s="1"/>
  <c r="M219" i="6"/>
  <c r="M220" i="6" s="1"/>
  <c r="M221" i="6" s="1"/>
  <c r="M222" i="6" s="1"/>
  <c r="M223" i="6" s="1"/>
  <c r="M224" i="6" s="1"/>
  <c r="M225" i="6" s="1"/>
  <c r="M226" i="6" s="1"/>
  <c r="K219" i="6"/>
  <c r="K220" i="6" s="1"/>
  <c r="K221" i="6" s="1"/>
  <c r="K222" i="6" s="1"/>
  <c r="K223" i="6" s="1"/>
  <c r="K224" i="6" s="1"/>
  <c r="K225" i="6" s="1"/>
  <c r="K226" i="6" s="1"/>
  <c r="Q211" i="6"/>
  <c r="Q212" i="6" s="1"/>
  <c r="Q213" i="6" s="1"/>
  <c r="Q214" i="6" s="1"/>
  <c r="Q215" i="6" s="1"/>
  <c r="Q216" i="6" s="1"/>
  <c r="Q217" i="6" s="1"/>
  <c r="O210" i="6"/>
  <c r="M210" i="6"/>
  <c r="K210" i="6"/>
  <c r="Q202" i="6"/>
  <c r="Q203" i="6" s="1"/>
  <c r="Q204" i="6" s="1"/>
  <c r="Q205" i="6" s="1"/>
  <c r="Q206" i="6" s="1"/>
  <c r="Q207" i="6" s="1"/>
  <c r="Q208" i="6" s="1"/>
  <c r="O201" i="6"/>
  <c r="O202" i="6" s="1"/>
  <c r="O203" i="6" s="1"/>
  <c r="O204" i="6" s="1"/>
  <c r="O205" i="6" s="1"/>
  <c r="O206" i="6" s="1"/>
  <c r="O207" i="6" s="1"/>
  <c r="O208" i="6" s="1"/>
  <c r="M201" i="6"/>
  <c r="M202" i="6" s="1"/>
  <c r="M203" i="6" s="1"/>
  <c r="M204" i="6" s="1"/>
  <c r="M205" i="6" s="1"/>
  <c r="M206" i="6" s="1"/>
  <c r="M207" i="6" s="1"/>
  <c r="M208" i="6" s="1"/>
  <c r="K201" i="6"/>
  <c r="K202" i="6" s="1"/>
  <c r="K203" i="6" s="1"/>
  <c r="K204" i="6" s="1"/>
  <c r="K205" i="6" s="1"/>
  <c r="K206" i="6" s="1"/>
  <c r="K207" i="6" s="1"/>
  <c r="K208" i="6" s="1"/>
  <c r="Q190" i="6"/>
  <c r="Q191" i="6" s="1"/>
  <c r="Q192" i="6" s="1"/>
  <c r="Q193" i="6" s="1"/>
  <c r="Q194" i="6" s="1"/>
  <c r="Q195" i="6" s="1"/>
  <c r="Q196" i="6" s="1"/>
  <c r="O189" i="6"/>
  <c r="O190" i="6" s="1"/>
  <c r="O191" i="6" s="1"/>
  <c r="O192" i="6" s="1"/>
  <c r="O193" i="6" s="1"/>
  <c r="O194" i="6" s="1"/>
  <c r="O195" i="6" s="1"/>
  <c r="O196" i="6" s="1"/>
  <c r="M189" i="6"/>
  <c r="M190" i="6" s="1"/>
  <c r="M191" i="6" s="1"/>
  <c r="M192" i="6" s="1"/>
  <c r="M193" i="6" s="1"/>
  <c r="M194" i="6" s="1"/>
  <c r="M195" i="6" s="1"/>
  <c r="M196" i="6" s="1"/>
  <c r="K189" i="6"/>
  <c r="K190" i="6" s="1"/>
  <c r="K191" i="6" s="1"/>
  <c r="K192" i="6" s="1"/>
  <c r="K193" i="6" s="1"/>
  <c r="K194" i="6" s="1"/>
  <c r="K195" i="6" s="1"/>
  <c r="K196" i="6" s="1"/>
  <c r="Q181" i="6"/>
  <c r="Q182" i="6" s="1"/>
  <c r="Q183" i="6" s="1"/>
  <c r="Q184" i="6" s="1"/>
  <c r="Q185" i="6" s="1"/>
  <c r="Q186" i="6" s="1"/>
  <c r="Q187" i="6" s="1"/>
  <c r="O180" i="6"/>
  <c r="M180" i="6"/>
  <c r="K180" i="6"/>
  <c r="Q172" i="6"/>
  <c r="Q173" i="6" s="1"/>
  <c r="Q174" i="6" s="1"/>
  <c r="Q175" i="6" s="1"/>
  <c r="Q176" i="6" s="1"/>
  <c r="Q177" i="6" s="1"/>
  <c r="Q178" i="6" s="1"/>
  <c r="O171" i="6"/>
  <c r="O172" i="6" s="1"/>
  <c r="O173" i="6" s="1"/>
  <c r="O174" i="6" s="1"/>
  <c r="O175" i="6" s="1"/>
  <c r="O176" i="6" s="1"/>
  <c r="O177" i="6" s="1"/>
  <c r="O178" i="6" s="1"/>
  <c r="M171" i="6"/>
  <c r="M172" i="6" s="1"/>
  <c r="M173" i="6" s="1"/>
  <c r="M174" i="6" s="1"/>
  <c r="M175" i="6" s="1"/>
  <c r="M176" i="6" s="1"/>
  <c r="M177" i="6" s="1"/>
  <c r="M178" i="6" s="1"/>
  <c r="K171" i="6"/>
  <c r="K172" i="6" s="1"/>
  <c r="K173" i="6" s="1"/>
  <c r="K174" i="6" s="1"/>
  <c r="K175" i="6" s="1"/>
  <c r="K176" i="6" s="1"/>
  <c r="K177" i="6" s="1"/>
  <c r="K178" i="6" s="1"/>
  <c r="Q160" i="6"/>
  <c r="Q161" i="6" s="1"/>
  <c r="Q162" i="6" s="1"/>
  <c r="Q163" i="6" s="1"/>
  <c r="Q164" i="6" s="1"/>
  <c r="Q165" i="6" s="1"/>
  <c r="Q166" i="6" s="1"/>
  <c r="O159" i="6"/>
  <c r="O160" i="6" s="1"/>
  <c r="O161" i="6" s="1"/>
  <c r="O162" i="6" s="1"/>
  <c r="O163" i="6" s="1"/>
  <c r="O164" i="6" s="1"/>
  <c r="O165" i="6" s="1"/>
  <c r="O166" i="6" s="1"/>
  <c r="M159" i="6"/>
  <c r="M160" i="6" s="1"/>
  <c r="M161" i="6" s="1"/>
  <c r="M162" i="6" s="1"/>
  <c r="M163" i="6" s="1"/>
  <c r="M164" i="6" s="1"/>
  <c r="M165" i="6" s="1"/>
  <c r="M166" i="6" s="1"/>
  <c r="K159" i="6"/>
  <c r="K160" i="6" s="1"/>
  <c r="K161" i="6" s="1"/>
  <c r="K162" i="6" s="1"/>
  <c r="K163" i="6" s="1"/>
  <c r="K164" i="6" s="1"/>
  <c r="K165" i="6" s="1"/>
  <c r="K166" i="6" s="1"/>
  <c r="Q151" i="6"/>
  <c r="O151" i="6" s="1"/>
  <c r="M151" i="6" s="1"/>
  <c r="O150" i="6"/>
  <c r="M150" i="6" s="1"/>
  <c r="K150" i="6"/>
  <c r="Q142" i="6"/>
  <c r="Q143" i="6" s="1"/>
  <c r="Q144" i="6" s="1"/>
  <c r="Q145" i="6" s="1"/>
  <c r="Q146" i="6" s="1"/>
  <c r="Q147" i="6" s="1"/>
  <c r="Q148" i="6" s="1"/>
  <c r="O141" i="6"/>
  <c r="M141" i="6" s="1"/>
  <c r="M142" i="6" s="1"/>
  <c r="M143" i="6" s="1"/>
  <c r="M144" i="6" s="1"/>
  <c r="M145" i="6" s="1"/>
  <c r="M146" i="6" s="1"/>
  <c r="M147" i="6" s="1"/>
  <c r="M148" i="6" s="1"/>
  <c r="K141" i="6"/>
  <c r="K142" i="6" s="1"/>
  <c r="K143" i="6" s="1"/>
  <c r="K144" i="6" s="1"/>
  <c r="K145" i="6" s="1"/>
  <c r="K146" i="6" s="1"/>
  <c r="K147" i="6" s="1"/>
  <c r="K148" i="6" s="1"/>
  <c r="Q130" i="6"/>
  <c r="Q131" i="6" s="1"/>
  <c r="Q132" i="6" s="1"/>
  <c r="Q133" i="6" s="1"/>
  <c r="Q134" i="6" s="1"/>
  <c r="Q135" i="6" s="1"/>
  <c r="Q136" i="6" s="1"/>
  <c r="O129" i="6"/>
  <c r="O130" i="6" s="1"/>
  <c r="O131" i="6" s="1"/>
  <c r="O132" i="6" s="1"/>
  <c r="O133" i="6" s="1"/>
  <c r="O134" i="6" s="1"/>
  <c r="O135" i="6" s="1"/>
  <c r="O136" i="6" s="1"/>
  <c r="M129" i="6"/>
  <c r="M130" i="6" s="1"/>
  <c r="M131" i="6" s="1"/>
  <c r="M132" i="6" s="1"/>
  <c r="M133" i="6" s="1"/>
  <c r="M134" i="6" s="1"/>
  <c r="M135" i="6" s="1"/>
  <c r="M136" i="6" s="1"/>
  <c r="K129" i="6"/>
  <c r="K130" i="6" s="1"/>
  <c r="K131" i="6" s="1"/>
  <c r="K132" i="6" s="1"/>
  <c r="K133" i="6" s="1"/>
  <c r="K134" i="6" s="1"/>
  <c r="K135" i="6" s="1"/>
  <c r="K136" i="6" s="1"/>
  <c r="Q121" i="6"/>
  <c r="O120" i="6"/>
  <c r="M120" i="6"/>
  <c r="K120" i="6"/>
  <c r="Q112" i="6"/>
  <c r="Q113" i="6" s="1"/>
  <c r="Q114" i="6" s="1"/>
  <c r="Q115" i="6" s="1"/>
  <c r="Q116" i="6" s="1"/>
  <c r="Q117" i="6" s="1"/>
  <c r="Q118" i="6" s="1"/>
  <c r="O111" i="6"/>
  <c r="M111" i="6" s="1"/>
  <c r="M112" i="6" s="1"/>
  <c r="M113" i="6" s="1"/>
  <c r="M114" i="6" s="1"/>
  <c r="M115" i="6" s="1"/>
  <c r="M116" i="6" s="1"/>
  <c r="M117" i="6" s="1"/>
  <c r="M118" i="6" s="1"/>
  <c r="K111" i="6"/>
  <c r="K112" i="6" s="1"/>
  <c r="K113" i="6" s="1"/>
  <c r="K114" i="6" s="1"/>
  <c r="K115" i="6" s="1"/>
  <c r="K116" i="6" s="1"/>
  <c r="K117" i="6" s="1"/>
  <c r="K118" i="6" s="1"/>
  <c r="O112" i="6" l="1"/>
  <c r="O113" i="6" s="1"/>
  <c r="O114" i="6" s="1"/>
  <c r="O115" i="6" s="1"/>
  <c r="O116" i="6" s="1"/>
  <c r="O117" i="6" s="1"/>
  <c r="O118" i="6" s="1"/>
  <c r="M251" i="6"/>
  <c r="K250" i="6"/>
  <c r="K89" i="6"/>
  <c r="O142" i="6"/>
  <c r="O143" i="6" s="1"/>
  <c r="O144" i="6" s="1"/>
  <c r="O145" i="6" s="1"/>
  <c r="O146" i="6" s="1"/>
  <c r="O147" i="6" s="1"/>
  <c r="O148" i="6" s="1"/>
  <c r="Q242" i="6"/>
  <c r="Q243" i="6" s="1"/>
  <c r="Q244" i="6" s="1"/>
  <c r="Q245" i="6" s="1"/>
  <c r="Q246" i="6" s="1"/>
  <c r="Q247" i="6" s="1"/>
  <c r="O181" i="6"/>
  <c r="O182" i="6" s="1"/>
  <c r="O183" i="6" s="1"/>
  <c r="O184" i="6" s="1"/>
  <c r="O185" i="6" s="1"/>
  <c r="O186" i="6" s="1"/>
  <c r="O187" i="6" s="1"/>
  <c r="Q152" i="6"/>
  <c r="Q153" i="6" s="1"/>
  <c r="Q154" i="6" s="1"/>
  <c r="Q155" i="6" s="1"/>
  <c r="Q156" i="6" s="1"/>
  <c r="Q157" i="6" s="1"/>
  <c r="O211" i="6"/>
  <c r="K88" i="6"/>
  <c r="O152" i="6"/>
  <c r="O153" i="6" s="1"/>
  <c r="O154" i="6" s="1"/>
  <c r="O155" i="6" s="1"/>
  <c r="O156" i="6" s="1"/>
  <c r="O157" i="6" s="1"/>
  <c r="O121" i="6"/>
  <c r="Q122" i="6"/>
  <c r="Q123" i="6" s="1"/>
  <c r="Q124" i="6" s="1"/>
  <c r="Q125" i="6" s="1"/>
  <c r="Q126" i="6" s="1"/>
  <c r="Q127" i="6" s="1"/>
  <c r="O242" i="6"/>
  <c r="O243" i="6" s="1"/>
  <c r="O244" i="6" s="1"/>
  <c r="O245" i="6" s="1"/>
  <c r="O246" i="6" s="1"/>
  <c r="O247" i="6" s="1"/>
  <c r="M241" i="6"/>
  <c r="M88" i="6" s="1"/>
  <c r="M87" i="6" s="1"/>
  <c r="M152" i="6"/>
  <c r="M153" i="6" s="1"/>
  <c r="M154" i="6" s="1"/>
  <c r="M155" i="6" s="1"/>
  <c r="M156" i="6" s="1"/>
  <c r="M157" i="6" s="1"/>
  <c r="K151" i="6"/>
  <c r="K152" i="6" s="1"/>
  <c r="K153" i="6" s="1"/>
  <c r="K154" i="6" s="1"/>
  <c r="K155" i="6" s="1"/>
  <c r="K156" i="6" s="1"/>
  <c r="K157" i="6" s="1"/>
  <c r="O270" i="6"/>
  <c r="G18" i="1"/>
  <c r="M181" i="6" l="1"/>
  <c r="K181" i="6" s="1"/>
  <c r="K182" i="6" s="1"/>
  <c r="K183" i="6" s="1"/>
  <c r="K184" i="6" s="1"/>
  <c r="K185" i="6" s="1"/>
  <c r="K186" i="6" s="1"/>
  <c r="K187" i="6" s="1"/>
  <c r="M252" i="6"/>
  <c r="O88" i="6"/>
  <c r="O87" i="6" s="1"/>
  <c r="K251" i="6"/>
  <c r="K252" i="6" s="1"/>
  <c r="M211" i="6"/>
  <c r="O212" i="6"/>
  <c r="O213" i="6" s="1"/>
  <c r="O214" i="6" s="1"/>
  <c r="O215" i="6" s="1"/>
  <c r="O216" i="6" s="1"/>
  <c r="O217" i="6" s="1"/>
  <c r="M121" i="6"/>
  <c r="O122" i="6"/>
  <c r="O123" i="6" s="1"/>
  <c r="O124" i="6" s="1"/>
  <c r="O125" i="6" s="1"/>
  <c r="O126" i="6" s="1"/>
  <c r="O127" i="6" s="1"/>
  <c r="M242" i="6"/>
  <c r="M243" i="6" s="1"/>
  <c r="M244" i="6" s="1"/>
  <c r="M245" i="6" s="1"/>
  <c r="M246" i="6" s="1"/>
  <c r="M247" i="6" s="1"/>
  <c r="K241" i="6"/>
  <c r="K242" i="6" s="1"/>
  <c r="K243" i="6" s="1"/>
  <c r="K244" i="6" s="1"/>
  <c r="K245" i="6" s="1"/>
  <c r="K246" i="6" s="1"/>
  <c r="K247" i="6" s="1"/>
  <c r="M270" i="6"/>
  <c r="O271" i="6"/>
  <c r="O272" i="6" s="1"/>
  <c r="O273" i="6" s="1"/>
  <c r="O274" i="6" s="1"/>
  <c r="O275" i="6" s="1"/>
  <c r="O276" i="6" s="1"/>
  <c r="M182" i="6" l="1"/>
  <c r="M183" i="6" s="1"/>
  <c r="M184" i="6" s="1"/>
  <c r="M185" i="6" s="1"/>
  <c r="M186" i="6" s="1"/>
  <c r="M187" i="6" s="1"/>
  <c r="M253" i="6"/>
  <c r="Q88" i="6"/>
  <c r="Q87" i="6" s="1"/>
  <c r="M89" i="6"/>
  <c r="K253" i="6"/>
  <c r="Q89" i="6"/>
  <c r="K211" i="6"/>
  <c r="K212" i="6" s="1"/>
  <c r="K213" i="6" s="1"/>
  <c r="K214" i="6" s="1"/>
  <c r="K215" i="6" s="1"/>
  <c r="K216" i="6" s="1"/>
  <c r="K217" i="6" s="1"/>
  <c r="M212" i="6"/>
  <c r="M213" i="6" s="1"/>
  <c r="M214" i="6" s="1"/>
  <c r="M215" i="6" s="1"/>
  <c r="M216" i="6" s="1"/>
  <c r="M217" i="6" s="1"/>
  <c r="M122" i="6"/>
  <c r="M123" i="6" s="1"/>
  <c r="M124" i="6" s="1"/>
  <c r="M125" i="6" s="1"/>
  <c r="M126" i="6" s="1"/>
  <c r="M127" i="6" s="1"/>
  <c r="K121" i="6"/>
  <c r="K122" i="6" s="1"/>
  <c r="K123" i="6" s="1"/>
  <c r="K124" i="6" s="1"/>
  <c r="K125" i="6" s="1"/>
  <c r="K126" i="6" s="1"/>
  <c r="K127" i="6" s="1"/>
  <c r="K270" i="6"/>
  <c r="K271" i="6" s="1"/>
  <c r="K272" i="6" s="1"/>
  <c r="K273" i="6" s="1"/>
  <c r="K274" i="6" s="1"/>
  <c r="K275" i="6" s="1"/>
  <c r="K276" i="6" s="1"/>
  <c r="M271" i="6"/>
  <c r="M272" i="6" s="1"/>
  <c r="M273" i="6" s="1"/>
  <c r="M274" i="6" s="1"/>
  <c r="M275" i="6" s="1"/>
  <c r="M276" i="6" s="1"/>
  <c r="B57" i="7"/>
  <c r="B58" i="7" s="1"/>
  <c r="B48" i="7"/>
  <c r="K254" i="6" l="1"/>
  <c r="K255" i="6" s="1"/>
  <c r="K256" i="6" s="1"/>
  <c r="S89" i="6"/>
  <c r="M254" i="6"/>
  <c r="M255" i="6" s="1"/>
  <c r="M256" i="6" s="1"/>
  <c r="S88" i="6"/>
  <c r="S87" i="6" s="1"/>
  <c r="F57" i="7"/>
  <c r="F61" i="7"/>
  <c r="B17" i="7" l="1"/>
  <c r="H61" i="7"/>
  <c r="C57" i="7"/>
  <c r="B27" i="7" l="1"/>
  <c r="B18" i="7"/>
  <c r="F19" i="7" s="1"/>
  <c r="H57" i="7"/>
  <c r="H60" i="7"/>
  <c r="F59" i="7"/>
  <c r="F17" i="7"/>
  <c r="H18" i="7"/>
  <c r="F20" i="7"/>
  <c r="H58" i="7"/>
  <c r="F60" i="7"/>
  <c r="F21" i="7"/>
  <c r="H59" i="7"/>
  <c r="F18" i="7"/>
  <c r="F58" i="7"/>
  <c r="H21" i="7" l="1"/>
  <c r="C17" i="7"/>
  <c r="H17" i="7"/>
  <c r="H20" i="7"/>
  <c r="H19" i="7"/>
  <c r="B37" i="7"/>
  <c r="B28" i="7"/>
  <c r="C27" i="7" s="1"/>
  <c r="G59" i="7"/>
  <c r="F62" i="7"/>
  <c r="G57" i="7"/>
  <c r="H22" i="7"/>
  <c r="H62" i="7"/>
  <c r="G17" i="7"/>
  <c r="F22" i="7"/>
  <c r="G18" i="7"/>
  <c r="G21" i="7"/>
  <c r="G19" i="7"/>
  <c r="G60" i="7"/>
  <c r="G58" i="7"/>
  <c r="G61" i="7"/>
  <c r="G20" i="7"/>
  <c r="F30" i="7" l="1"/>
  <c r="G30" i="7" s="1"/>
  <c r="H30" i="7"/>
  <c r="H27" i="7"/>
  <c r="F29" i="7"/>
  <c r="G29" i="7" s="1"/>
  <c r="H28" i="7"/>
  <c r="H31" i="7"/>
  <c r="F28" i="7"/>
  <c r="G28" i="7" s="1"/>
  <c r="F31" i="7"/>
  <c r="G31" i="7" s="1"/>
  <c r="H29" i="7"/>
  <c r="F27" i="7"/>
  <c r="B47" i="7"/>
  <c r="B38" i="7"/>
  <c r="C37" i="7" s="1"/>
  <c r="G62" i="7"/>
  <c r="G22" i="7"/>
  <c r="G27" i="7" l="1"/>
  <c r="G32" i="7" s="1"/>
  <c r="F32" i="7"/>
  <c r="H50" i="7"/>
  <c r="F49" i="7"/>
  <c r="G49" i="7" s="1"/>
  <c r="F50" i="7"/>
  <c r="G50" i="7" s="1"/>
  <c r="H47" i="7"/>
  <c r="H52" i="7" s="1"/>
  <c r="C47" i="7"/>
  <c r="F47" i="7"/>
  <c r="H48" i="7"/>
  <c r="H51" i="7"/>
  <c r="F48" i="7"/>
  <c r="G48" i="7" s="1"/>
  <c r="F51" i="7"/>
  <c r="G51" i="7" s="1"/>
  <c r="H49" i="7"/>
  <c r="H32" i="7"/>
  <c r="H40" i="7"/>
  <c r="H39" i="7"/>
  <c r="H41" i="7"/>
  <c r="F41" i="7"/>
  <c r="G41" i="7" s="1"/>
  <c r="F39" i="7"/>
  <c r="G39" i="7" s="1"/>
  <c r="H38" i="7"/>
  <c r="F37" i="7"/>
  <c r="H37" i="7"/>
  <c r="H42" i="7" s="1"/>
  <c r="F40" i="7"/>
  <c r="G40" i="7" s="1"/>
  <c r="F38" i="7"/>
  <c r="G38" i="7" s="1"/>
  <c r="K87" i="6"/>
  <c r="F52" i="7" l="1"/>
  <c r="G47" i="7"/>
  <c r="G52" i="7" s="1"/>
  <c r="F42" i="7"/>
  <c r="G37" i="7"/>
  <c r="G42" i="7" s="1"/>
  <c r="AB31" i="1"/>
  <c r="AB32" i="1"/>
  <c r="AB33" i="1"/>
  <c r="AB34" i="1"/>
  <c r="AB35" i="1"/>
  <c r="AB30" i="1"/>
  <c r="AQ30" i="1" s="1"/>
  <c r="BF30" i="1" s="1"/>
  <c r="BU30" i="1" s="1"/>
  <c r="AB36" i="1" l="1"/>
  <c r="K68" i="6" l="1"/>
  <c r="K69" i="6"/>
  <c r="M68" i="6"/>
  <c r="O89" i="6" l="1"/>
  <c r="K67" i="6"/>
  <c r="O69" i="6"/>
  <c r="O68" i="6"/>
  <c r="O67" i="6" s="1"/>
  <c r="M69" i="6"/>
  <c r="M67" i="6" s="1"/>
  <c r="Q69" i="6" l="1"/>
  <c r="Q68" i="6"/>
  <c r="Q67" i="6" l="1"/>
  <c r="S69" i="6"/>
  <c r="S68" i="6"/>
  <c r="S67" i="6" l="1"/>
  <c r="K47" i="6"/>
  <c r="K27" i="6"/>
  <c r="M48" i="6"/>
  <c r="M28" i="6"/>
  <c r="K48" i="6"/>
  <c r="K28" i="6"/>
  <c r="K46" i="6" l="1"/>
  <c r="K26" i="6"/>
  <c r="M8" i="6"/>
  <c r="O8" i="6"/>
  <c r="M27" i="6"/>
  <c r="M26" i="6" s="1"/>
  <c r="K8" i="6"/>
  <c r="K7" i="6"/>
  <c r="M47" i="6"/>
  <c r="M46" i="6" s="1"/>
  <c r="O28" i="6"/>
  <c r="Q8" i="6"/>
  <c r="O48" i="6"/>
  <c r="K6" i="6" l="1"/>
  <c r="L71" i="1" s="1"/>
  <c r="Q28" i="6"/>
  <c r="O47" i="6"/>
  <c r="O46" i="6" s="1"/>
  <c r="Q48" i="6"/>
  <c r="M7" i="6"/>
  <c r="M6" i="6" s="1"/>
  <c r="S8" i="6"/>
  <c r="O27" i="6"/>
  <c r="O26" i="6" s="1"/>
  <c r="S28" i="6" l="1"/>
  <c r="O7" i="6"/>
  <c r="O6" i="6" s="1"/>
  <c r="AP71" i="1" s="1"/>
  <c r="S48" i="6"/>
  <c r="Q27" i="6"/>
  <c r="Q26" i="6" s="1"/>
  <c r="Q47" i="6"/>
  <c r="Q46" i="6" s="1"/>
  <c r="Q7" i="6" l="1"/>
  <c r="Q6" i="6" s="1"/>
  <c r="BE71" i="1" s="1"/>
  <c r="S47" i="6"/>
  <c r="S46" i="6" s="1"/>
  <c r="S27" i="6"/>
  <c r="S26" i="6" s="1"/>
  <c r="S7" i="6" l="1"/>
  <c r="S6" i="6" s="1"/>
  <c r="BT71" i="1" s="1"/>
  <c r="CI71" i="1" s="1"/>
  <c r="AQ33" i="1" l="1"/>
  <c r="BF33" i="1" s="1"/>
  <c r="BU33" i="1" s="1"/>
  <c r="AQ34" i="1"/>
  <c r="BF34" i="1" s="1"/>
  <c r="BU34" i="1" s="1"/>
  <c r="AB39" i="1"/>
  <c r="AQ39" i="1" s="1"/>
  <c r="BF39" i="1" s="1"/>
  <c r="BU39" i="1" s="1"/>
  <c r="BF40" i="1"/>
  <c r="BU40" i="1" s="1"/>
  <c r="AQ41" i="1"/>
  <c r="BF41" i="1" s="1"/>
  <c r="BU41" i="1" s="1"/>
  <c r="AB42" i="1"/>
  <c r="AQ42" i="1" s="1"/>
  <c r="BF42" i="1" s="1"/>
  <c r="BU42" i="1" s="1"/>
  <c r="AB43" i="1"/>
  <c r="AQ43" i="1" s="1"/>
  <c r="BF43" i="1" s="1"/>
  <c r="BU43" i="1" s="1"/>
  <c r="AB38" i="1"/>
  <c r="AQ38" i="1" s="1"/>
  <c r="BF38" i="1" s="1"/>
  <c r="BU38" i="1" s="1"/>
  <c r="AQ35" i="1"/>
  <c r="BF35" i="1" s="1"/>
  <c r="BU35" i="1" s="1"/>
  <c r="AQ32" i="1"/>
  <c r="BF32" i="1" s="1"/>
  <c r="BU32" i="1" s="1"/>
  <c r="AQ31" i="1"/>
  <c r="BF31" i="1" s="1"/>
  <c r="BU31" i="1" s="1"/>
  <c r="BU36" i="1" l="1"/>
  <c r="M71" i="1"/>
  <c r="M72" i="1" s="1"/>
  <c r="AB71" i="1"/>
  <c r="AB72" i="1" s="1"/>
  <c r="AQ71" i="1"/>
  <c r="AQ72" i="1" s="1"/>
  <c r="E26" i="1"/>
  <c r="T31" i="1"/>
  <c r="AX31" i="1" s="1"/>
  <c r="T32" i="1"/>
  <c r="AX32" i="1" s="1"/>
  <c r="T33" i="1"/>
  <c r="AX33" i="1" s="1"/>
  <c r="T34" i="1"/>
  <c r="AX34" i="1" s="1"/>
  <c r="AB64" i="1"/>
  <c r="AQ64" i="1"/>
  <c r="BF64" i="1"/>
  <c r="BU64" i="1"/>
  <c r="M64" i="1"/>
  <c r="M36" i="1"/>
  <c r="R43" i="1"/>
  <c r="AG43" i="1" s="1"/>
  <c r="R42" i="1"/>
  <c r="AG42" i="1" s="1"/>
  <c r="AV42" i="1" s="1"/>
  <c r="R41" i="1"/>
  <c r="AG41" i="1" s="1"/>
  <c r="AV41" i="1" s="1"/>
  <c r="R39" i="1"/>
  <c r="AG39" i="1" s="1"/>
  <c r="R38" i="1"/>
  <c r="AG38" i="1" s="1"/>
  <c r="AV38" i="1" s="1"/>
  <c r="BK38" i="1" s="1"/>
  <c r="R36" i="1"/>
  <c r="AG36" i="1" s="1"/>
  <c r="AV36" i="1" s="1"/>
  <c r="R35" i="1"/>
  <c r="AG35" i="1" s="1"/>
  <c r="BK40" i="1"/>
  <c r="AA38" i="1"/>
  <c r="AP38" i="1" s="1"/>
  <c r="Z38" i="1"/>
  <c r="AO38" i="1" s="1"/>
  <c r="Y38" i="1"/>
  <c r="AN38" i="1" s="1"/>
  <c r="Y31" i="1"/>
  <c r="AN31" i="1" s="1"/>
  <c r="Z31" i="1"/>
  <c r="AO31" i="1" s="1"/>
  <c r="AA31" i="1"/>
  <c r="Y32" i="1"/>
  <c r="AN32" i="1" s="1"/>
  <c r="Z32" i="1"/>
  <c r="AO32" i="1" s="1"/>
  <c r="AA32" i="1"/>
  <c r="AP32" i="1" s="1"/>
  <c r="Y33" i="1"/>
  <c r="AN33" i="1" s="1"/>
  <c r="Z33" i="1"/>
  <c r="AO33" i="1" s="1"/>
  <c r="AA33" i="1"/>
  <c r="AP33" i="1" s="1"/>
  <c r="Y34" i="1"/>
  <c r="AN34" i="1" s="1"/>
  <c r="Z34" i="1"/>
  <c r="AO34" i="1" s="1"/>
  <c r="AA34" i="1"/>
  <c r="AP34" i="1" s="1"/>
  <c r="Y35" i="1"/>
  <c r="AN35" i="1" s="1"/>
  <c r="Z35" i="1"/>
  <c r="AO35" i="1" s="1"/>
  <c r="AA35" i="1"/>
  <c r="AP35" i="1" s="1"/>
  <c r="Y30" i="1"/>
  <c r="AN30" i="1" s="1"/>
  <c r="Z30" i="1"/>
  <c r="AO30" i="1" s="1"/>
  <c r="AA30" i="1"/>
  <c r="AP30" i="1" s="1"/>
  <c r="BE30" i="1" s="1"/>
  <c r="CD81" i="1"/>
  <c r="CJ79" i="1"/>
  <c r="CJ70" i="1"/>
  <c r="CJ69" i="1"/>
  <c r="C21" i="5" s="1"/>
  <c r="CJ68" i="1"/>
  <c r="C23" i="5" s="1"/>
  <c r="CJ67" i="1"/>
  <c r="C22" i="5" s="1"/>
  <c r="CJ66" i="1"/>
  <c r="C15" i="5" s="1"/>
  <c r="CC60" i="1"/>
  <c r="CC61" i="1"/>
  <c r="CC62" i="1"/>
  <c r="CC59" i="1"/>
  <c r="CJ54" i="1"/>
  <c r="C12" i="5" s="1"/>
  <c r="CJ55" i="1"/>
  <c r="C13" i="5" s="1"/>
  <c r="CJ53" i="1"/>
  <c r="C11" i="5" s="1"/>
  <c r="CI70" i="1"/>
  <c r="C17" i="5" s="1"/>
  <c r="AE88" i="1"/>
  <c r="BI88" i="1" s="1"/>
  <c r="AI34" i="1"/>
  <c r="BM34" i="1" s="1"/>
  <c r="AI33" i="1"/>
  <c r="BM33" i="1" s="1"/>
  <c r="AI32" i="1"/>
  <c r="BM32" i="1" s="1"/>
  <c r="AI31" i="1"/>
  <c r="BM31" i="1" s="1"/>
  <c r="P88" i="1"/>
  <c r="AT88" i="1" s="1"/>
  <c r="BX88" i="1"/>
  <c r="L36" i="1"/>
  <c r="CB31" i="1"/>
  <c r="CB32" i="1"/>
  <c r="CB33" i="1"/>
  <c r="CB34" i="1"/>
  <c r="J36" i="1"/>
  <c r="K36" i="1"/>
  <c r="AI26" i="1" l="1"/>
  <c r="BM26" i="1" s="1"/>
  <c r="E30" i="1"/>
  <c r="CB30" i="1" s="1"/>
  <c r="J11" i="5"/>
  <c r="L8" i="10" s="1"/>
  <c r="I11" i="5"/>
  <c r="K8" i="10" s="1"/>
  <c r="I15" i="5"/>
  <c r="K12" i="10" s="1"/>
  <c r="J15" i="5"/>
  <c r="L12" i="10" s="1"/>
  <c r="J17" i="5"/>
  <c r="L13" i="10" s="1"/>
  <c r="I17" i="5"/>
  <c r="K13" i="10" s="1"/>
  <c r="J22" i="5"/>
  <c r="L16" i="10" s="1"/>
  <c r="I22" i="5"/>
  <c r="K16" i="10" s="1"/>
  <c r="J13" i="5"/>
  <c r="L10" i="10" s="1"/>
  <c r="I13" i="5"/>
  <c r="K10" i="10" s="1"/>
  <c r="J23" i="5"/>
  <c r="L17" i="10" s="1"/>
  <c r="I23" i="5"/>
  <c r="K17" i="10" s="1"/>
  <c r="J21" i="5"/>
  <c r="L15" i="10" s="1"/>
  <c r="I21" i="5"/>
  <c r="K15" i="10" s="1"/>
  <c r="J12" i="5"/>
  <c r="L9" i="10" s="1"/>
  <c r="I12" i="5"/>
  <c r="K9" i="10" s="1"/>
  <c r="C18" i="5"/>
  <c r="T26" i="1"/>
  <c r="AX26" i="1" s="1"/>
  <c r="CB26" i="1"/>
  <c r="CJ43" i="1"/>
  <c r="M45" i="1"/>
  <c r="M44" i="1"/>
  <c r="AI30" i="1"/>
  <c r="BM30" i="1" s="1"/>
  <c r="BZ40" i="1"/>
  <c r="CJ40" i="1"/>
  <c r="BF71" i="1"/>
  <c r="BF72" i="1" s="1"/>
  <c r="AA36" i="1"/>
  <c r="BC30" i="1"/>
  <c r="AN36" i="1"/>
  <c r="AV39" i="1"/>
  <c r="BK39" i="1" s="1"/>
  <c r="BD31" i="1"/>
  <c r="BS31" i="1" s="1"/>
  <c r="BE34" i="1"/>
  <c r="BT34" i="1" s="1"/>
  <c r="BC38" i="1"/>
  <c r="BR38" i="1" s="1"/>
  <c r="BT30" i="1"/>
  <c r="CI30" i="1" s="1"/>
  <c r="BD34" i="1"/>
  <c r="BS34" i="1" s="1"/>
  <c r="BC33" i="1"/>
  <c r="BR33" i="1" s="1"/>
  <c r="BD38" i="1"/>
  <c r="BS38" i="1" s="1"/>
  <c r="BK41" i="1"/>
  <c r="BZ41" i="1" s="1"/>
  <c r="AV43" i="1"/>
  <c r="BK43" i="1" s="1"/>
  <c r="BD35" i="1"/>
  <c r="BS35" i="1" s="1"/>
  <c r="BC34" i="1"/>
  <c r="BR34" i="1" s="1"/>
  <c r="BE32" i="1"/>
  <c r="BT32" i="1" s="1"/>
  <c r="BE38" i="1"/>
  <c r="BT38" i="1" s="1"/>
  <c r="AO36" i="1"/>
  <c r="BD30" i="1"/>
  <c r="BC35" i="1"/>
  <c r="BR35" i="1" s="1"/>
  <c r="BE33" i="1"/>
  <c r="BT33" i="1" s="1"/>
  <c r="BD32" i="1"/>
  <c r="BS32" i="1" s="1"/>
  <c r="BC31" i="1"/>
  <c r="BR31" i="1" s="1"/>
  <c r="AV35" i="1"/>
  <c r="BK35" i="1" s="1"/>
  <c r="BK42" i="1"/>
  <c r="BZ42" i="1" s="1"/>
  <c r="BD33" i="1"/>
  <c r="BS33" i="1" s="1"/>
  <c r="BC32" i="1"/>
  <c r="BR32" i="1" s="1"/>
  <c r="BK36" i="1"/>
  <c r="BZ36" i="1" s="1"/>
  <c r="CJ34" i="1"/>
  <c r="BE35" i="1"/>
  <c r="BT35" i="1" s="1"/>
  <c r="CJ32" i="1"/>
  <c r="AQ36" i="1"/>
  <c r="AQ45" i="1" s="1"/>
  <c r="AB45" i="1"/>
  <c r="Y36" i="1"/>
  <c r="BZ38" i="1"/>
  <c r="Z36" i="1"/>
  <c r="AP31" i="1"/>
  <c r="CJ64" i="1"/>
  <c r="T30" i="1" l="1"/>
  <c r="AX30" i="1" s="1"/>
  <c r="C30" i="5"/>
  <c r="J29" i="5" s="1"/>
  <c r="L21" i="10" s="1"/>
  <c r="I29" i="5"/>
  <c r="K21" i="10" s="1"/>
  <c r="J18" i="5"/>
  <c r="L14" i="10" s="1"/>
  <c r="I18" i="5"/>
  <c r="K14" i="10" s="1"/>
  <c r="CG38" i="1"/>
  <c r="M46" i="1"/>
  <c r="M73" i="1" s="1"/>
  <c r="L77" i="1" s="1"/>
  <c r="CG31" i="1"/>
  <c r="BZ43" i="1"/>
  <c r="CJ38" i="1"/>
  <c r="BU71" i="1"/>
  <c r="BU72" i="1" s="1"/>
  <c r="CJ72" i="1" s="1"/>
  <c r="CH38" i="1"/>
  <c r="CJ35" i="1"/>
  <c r="CH33" i="1"/>
  <c r="CI33" i="1"/>
  <c r="CJ31" i="1"/>
  <c r="CJ42" i="1"/>
  <c r="CH31" i="1"/>
  <c r="AB44" i="1"/>
  <c r="AB46" i="1" s="1"/>
  <c r="AB73" i="1" s="1"/>
  <c r="AA77" i="1" s="1"/>
  <c r="D27" i="7" s="1"/>
  <c r="AQ44" i="1"/>
  <c r="AQ46" i="1" s="1"/>
  <c r="BF36" i="1"/>
  <c r="AP36" i="1"/>
  <c r="BE31" i="1"/>
  <c r="CH32" i="1"/>
  <c r="CI35" i="1"/>
  <c r="BZ35" i="1"/>
  <c r="CG35" i="1"/>
  <c r="CJ33" i="1"/>
  <c r="CG32" i="1"/>
  <c r="BD36" i="1"/>
  <c r="BS30" i="1"/>
  <c r="CI32" i="1"/>
  <c r="CH35" i="1"/>
  <c r="CG33" i="1"/>
  <c r="CJ41" i="1"/>
  <c r="CI34" i="1"/>
  <c r="CJ39" i="1"/>
  <c r="BR30" i="1"/>
  <c r="BR36" i="1" s="1"/>
  <c r="BC36" i="1"/>
  <c r="CI38" i="1"/>
  <c r="CG34" i="1"/>
  <c r="CH34" i="1"/>
  <c r="BZ39" i="1"/>
  <c r="D17" i="7" l="1"/>
  <c r="D32" i="7"/>
  <c r="E27" i="7"/>
  <c r="CJ71" i="1"/>
  <c r="C25" i="5" s="1"/>
  <c r="C14" i="5"/>
  <c r="CG30" i="1"/>
  <c r="CG36" i="1" s="1"/>
  <c r="BS36" i="1"/>
  <c r="CH30" i="1"/>
  <c r="CH36" i="1" s="1"/>
  <c r="CJ30" i="1"/>
  <c r="BT31" i="1"/>
  <c r="BE36" i="1"/>
  <c r="BF45" i="1"/>
  <c r="BF44" i="1"/>
  <c r="BU45" i="1"/>
  <c r="BU44" i="1"/>
  <c r="CJ36" i="1"/>
  <c r="AQ73" i="1"/>
  <c r="J14" i="5" l="1"/>
  <c r="L11" i="10" s="1"/>
  <c r="I14" i="5"/>
  <c r="K11" i="10" s="1"/>
  <c r="D22" i="7"/>
  <c r="E17" i="7"/>
  <c r="I28" i="7"/>
  <c r="J28" i="7" s="1"/>
  <c r="I29" i="7"/>
  <c r="J29" i="7" s="1"/>
  <c r="I27" i="7"/>
  <c r="I30" i="7"/>
  <c r="J30" i="7" s="1"/>
  <c r="I31" i="7"/>
  <c r="J31" i="7" s="1"/>
  <c r="BF46" i="1"/>
  <c r="CJ45" i="1"/>
  <c r="C10" i="5" s="1"/>
  <c r="BU46" i="1"/>
  <c r="BU73" i="1" s="1"/>
  <c r="BT77" i="1" s="1"/>
  <c r="D57" i="7" s="1"/>
  <c r="CI31" i="1"/>
  <c r="CI36" i="1" s="1"/>
  <c r="BT36" i="1"/>
  <c r="CJ44" i="1"/>
  <c r="C9" i="5" s="1"/>
  <c r="AP77" i="1"/>
  <c r="I9" i="5" l="1"/>
  <c r="K6" i="10" s="1"/>
  <c r="J9" i="5"/>
  <c r="L6" i="10" s="1"/>
  <c r="J10" i="5"/>
  <c r="L7" i="10" s="1"/>
  <c r="I10" i="5"/>
  <c r="K7" i="10" s="1"/>
  <c r="J25" i="5"/>
  <c r="L19" i="10" s="1"/>
  <c r="I25" i="5"/>
  <c r="K19" i="10" s="1"/>
  <c r="I32" i="7"/>
  <c r="AB77" i="1" s="1"/>
  <c r="AB78" i="1" s="1"/>
  <c r="AB80" i="1" s="1"/>
  <c r="D62" i="7"/>
  <c r="E57" i="7"/>
  <c r="I18" i="7"/>
  <c r="J18" i="7" s="1"/>
  <c r="I19" i="7"/>
  <c r="J19" i="7" s="1"/>
  <c r="I21" i="7"/>
  <c r="J21" i="7" s="1"/>
  <c r="I20" i="7"/>
  <c r="J20" i="7" s="1"/>
  <c r="I17" i="7"/>
  <c r="D37" i="7"/>
  <c r="J27" i="7"/>
  <c r="J32" i="7" s="1"/>
  <c r="C26" i="5"/>
  <c r="BF73" i="1"/>
  <c r="CJ46" i="1"/>
  <c r="I22" i="7" l="1"/>
  <c r="M77" i="1" s="1"/>
  <c r="M78" i="1" s="1"/>
  <c r="M80" i="1" s="1"/>
  <c r="I59" i="7"/>
  <c r="J59" i="7" s="1"/>
  <c r="I58" i="7"/>
  <c r="J58" i="7" s="1"/>
  <c r="I60" i="7"/>
  <c r="J60" i="7" s="1"/>
  <c r="I61" i="7"/>
  <c r="J61" i="7" s="1"/>
  <c r="I57" i="7"/>
  <c r="J17" i="7"/>
  <c r="J22" i="7" s="1"/>
  <c r="D42" i="7"/>
  <c r="E37" i="7"/>
  <c r="BE77" i="1"/>
  <c r="CJ73" i="1"/>
  <c r="I62" i="7" l="1"/>
  <c r="BU77" i="1" s="1"/>
  <c r="BU78" i="1" s="1"/>
  <c r="BU80" i="1" s="1"/>
  <c r="J57" i="7"/>
  <c r="J62" i="7" s="1"/>
  <c r="D47" i="7"/>
  <c r="I38" i="7"/>
  <c r="J38" i="7" s="1"/>
  <c r="I40" i="7"/>
  <c r="J40" i="7" s="1"/>
  <c r="I37" i="7"/>
  <c r="I39" i="7"/>
  <c r="J39" i="7" s="1"/>
  <c r="I41" i="7"/>
  <c r="J41" i="7" s="1"/>
  <c r="I42" i="7" l="1"/>
  <c r="AQ77" i="1" s="1"/>
  <c r="J37" i="7"/>
  <c r="J42" i="7" s="1"/>
  <c r="D52" i="7"/>
  <c r="D12" i="7" s="1"/>
  <c r="E47" i="7"/>
  <c r="AQ78" i="1" l="1"/>
  <c r="AQ80" i="1" s="1"/>
  <c r="I51" i="7"/>
  <c r="J51" i="7" s="1"/>
  <c r="I47" i="7"/>
  <c r="I50" i="7"/>
  <c r="J50" i="7" s="1"/>
  <c r="I49" i="7"/>
  <c r="J49" i="7" s="1"/>
  <c r="I48" i="7"/>
  <c r="J48" i="7" s="1"/>
  <c r="I52" i="7" l="1"/>
  <c r="BF77" i="1" s="1"/>
  <c r="J47" i="7"/>
  <c r="J52" i="7" s="1"/>
  <c r="I12" i="7" l="1"/>
  <c r="BF78" i="1"/>
  <c r="CJ77" i="1"/>
  <c r="C27" i="5" s="1"/>
  <c r="I27" i="5" s="1"/>
  <c r="C28" i="5" l="1"/>
  <c r="C33" i="5" s="1"/>
  <c r="J27" i="5"/>
  <c r="L20" i="10" s="1"/>
  <c r="K20" i="10"/>
  <c r="CJ78" i="1"/>
  <c r="BF80" i="1"/>
  <c r="CJ8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 Andrea K [S P]</author>
    <author>Diane Meyer</author>
    <author>Sara Jane Oftelie</author>
  </authors>
  <commentList>
    <comment ref="G18" authorId="0" shapeId="0" xr:uid="{00000000-0006-0000-0000-000001000000}">
      <text>
        <r>
          <rPr>
            <sz val="9"/>
            <color indexed="81"/>
            <rFont val="Tahoma"/>
            <family val="2"/>
          </rPr>
          <t xml:space="preserve">If end date is less than a full year from the start date, replace formula with correct end date and ensure Number of Years is correct
</t>
        </r>
      </text>
    </comment>
    <comment ref="L71" authorId="1" shapeId="0" xr:uid="{00000000-0006-0000-0000-000002000000}">
      <text>
        <r>
          <rPr>
            <b/>
            <sz val="9"/>
            <color indexed="10"/>
            <rFont val="Tahoma"/>
            <family val="2"/>
          </rPr>
          <t>Tuition</t>
        </r>
        <r>
          <rPr>
            <b/>
            <sz val="9"/>
            <color indexed="81"/>
            <rFont val="Tahoma"/>
            <family val="2"/>
          </rPr>
          <t xml:space="preserve"> </t>
        </r>
        <r>
          <rPr>
            <b/>
            <sz val="9"/>
            <color indexed="8"/>
            <rFont val="Tahoma"/>
            <family val="2"/>
          </rPr>
          <t>remission: This space will autofill from the Tuition sheet after you have made your selections.</t>
        </r>
      </text>
    </comment>
    <comment ref="AA71" authorId="2" shapeId="0" xr:uid="{00000000-0006-0000-0000-000003000000}">
      <text>
        <r>
          <rPr>
            <b/>
            <sz val="9"/>
            <color indexed="81"/>
            <rFont val="Tahoma"/>
            <family val="2"/>
          </rPr>
          <t>This space will autofill from the Tuition sheet after you have made your selections.</t>
        </r>
      </text>
    </comment>
    <comment ref="AP71" authorId="2" shapeId="0" xr:uid="{00000000-0006-0000-0000-000004000000}">
      <text>
        <r>
          <rPr>
            <b/>
            <sz val="9"/>
            <color indexed="81"/>
            <rFont val="Tahoma"/>
            <family val="2"/>
          </rPr>
          <t>This space will autofill from the Tuition sheet after you have made your selections.</t>
        </r>
        <r>
          <rPr>
            <sz val="9"/>
            <color indexed="81"/>
            <rFont val="Tahoma"/>
            <family val="2"/>
          </rPr>
          <t xml:space="preserve">
</t>
        </r>
      </text>
    </comment>
    <comment ref="BE71" authorId="2" shapeId="0" xr:uid="{00000000-0006-0000-0000-000005000000}">
      <text>
        <r>
          <rPr>
            <b/>
            <sz val="9"/>
            <color indexed="81"/>
            <rFont val="Tahoma"/>
            <family val="2"/>
          </rPr>
          <t>This space will autofill from the Tuition sheet after you have made your selections.</t>
        </r>
        <r>
          <rPr>
            <sz val="9"/>
            <color indexed="81"/>
            <rFont val="Tahoma"/>
            <family val="2"/>
          </rPr>
          <t xml:space="preserve">
</t>
        </r>
      </text>
    </comment>
    <comment ref="BT71" authorId="2" shapeId="0" xr:uid="{00000000-0006-0000-0000-000006000000}">
      <text>
        <r>
          <rPr>
            <b/>
            <sz val="9"/>
            <color indexed="81"/>
            <rFont val="Tahoma"/>
            <family val="2"/>
          </rPr>
          <t>This space will autofill from the Tuition sheet after you have made your selections.</t>
        </r>
        <r>
          <rPr>
            <sz val="9"/>
            <color indexed="81"/>
            <rFont val="Tahoma"/>
            <family val="2"/>
          </rPr>
          <t xml:space="preserve">
</t>
        </r>
      </text>
    </comment>
  </commentList>
</comments>
</file>

<file path=xl/sharedStrings.xml><?xml version="1.0" encoding="utf-8"?>
<sst xmlns="http://schemas.openxmlformats.org/spreadsheetml/2006/main" count="1618" uniqueCount="411">
  <si>
    <t>Year 1</t>
  </si>
  <si>
    <t>Faculty</t>
  </si>
  <si>
    <t>(FAC)</t>
  </si>
  <si>
    <t>Year 2</t>
  </si>
  <si>
    <t>P&amp;S</t>
  </si>
  <si>
    <t>(PS)</t>
  </si>
  <si>
    <t>Year 3</t>
  </si>
  <si>
    <t>Merit</t>
  </si>
  <si>
    <t>(MERIT)</t>
  </si>
  <si>
    <t>Year 4</t>
  </si>
  <si>
    <t>Graduate Student</t>
  </si>
  <si>
    <t>(GRAD)</t>
  </si>
  <si>
    <t>Year 5</t>
  </si>
  <si>
    <t>Post Doc</t>
  </si>
  <si>
    <t>(POST)</t>
  </si>
  <si>
    <t>Hourly</t>
  </si>
  <si>
    <t>(HOUR)</t>
  </si>
  <si>
    <t>Enter the Number of Years for this proposal</t>
  </si>
  <si>
    <t>Enter PI's Name Here (yellow box)&gt; &gt; &gt;</t>
  </si>
  <si>
    <t xml:space="preserve">      SUMMARY</t>
  </si>
  <si>
    <t>YEAR 1</t>
  </si>
  <si>
    <t>YEAR 2</t>
  </si>
  <si>
    <t>YEAR 3</t>
  </si>
  <si>
    <t>YEAR 4</t>
  </si>
  <si>
    <t>YEAR 5</t>
  </si>
  <si>
    <t>SUMMARY</t>
  </si>
  <si>
    <t>PROPOSAL BUDGET</t>
  </si>
  <si>
    <t xml:space="preserve">              FOR NSF USE ONLY</t>
  </si>
  <si>
    <t xml:space="preserve"> ORGANIZATION</t>
  </si>
  <si>
    <t>PROPOSAL NO.</t>
  </si>
  <si>
    <t xml:space="preserve">              DURATION (MONTHS)</t>
  </si>
  <si>
    <t>IOWA STATE UNIVERSITY</t>
  </si>
  <si>
    <t>Proposed</t>
  </si>
  <si>
    <t>Granted</t>
  </si>
  <si>
    <t xml:space="preserve"> PRINCIPAL INVESTIGATOR/PROJECT DIRECTOR</t>
  </si>
  <si>
    <t>AWARD NO.</t>
  </si>
  <si>
    <t/>
  </si>
  <si>
    <t xml:space="preserve"> A. SENIOR PERSONNEL:  PI/PD, Co.-PI's, Faculty and Other Senior Associates</t>
  </si>
  <si>
    <t xml:space="preserve">                  NSF Funded</t>
  </si>
  <si>
    <t>Funds</t>
  </si>
  <si>
    <t xml:space="preserve">      Funds</t>
  </si>
  <si>
    <t xml:space="preserve">     Funds</t>
  </si>
  <si>
    <t xml:space="preserve">         (List each separately with title, A.7. show number in brackets)</t>
  </si>
  <si>
    <t xml:space="preserve">                    Person-mos.</t>
  </si>
  <si>
    <t>Requested by</t>
  </si>
  <si>
    <t>Granted By NSF</t>
  </si>
  <si>
    <t>CAL</t>
  </si>
  <si>
    <t>ACAD</t>
  </si>
  <si>
    <t>SUMR</t>
  </si>
  <si>
    <t>Proposer</t>
  </si>
  <si>
    <t>(If Different)</t>
  </si>
  <si>
    <t xml:space="preserve">     Proposer</t>
  </si>
  <si>
    <t xml:space="preserve">   (If Different)</t>
  </si>
  <si>
    <t xml:space="preserve">  1.</t>
  </si>
  <si>
    <t xml:space="preserve">  2.</t>
  </si>
  <si>
    <t xml:space="preserve">  3.</t>
  </si>
  <si>
    <t xml:space="preserve">  4.</t>
  </si>
  <si>
    <t xml:space="preserve">  5.</t>
  </si>
  <si>
    <t xml:space="preserve">  6.</t>
  </si>
  <si>
    <t>(</t>
  </si>
  <si>
    <t>)</t>
  </si>
  <si>
    <t>OTHERS (LIST INDIVIDUALLY ON BUDGET EXPLANATION PAGE)</t>
  </si>
  <si>
    <t xml:space="preserve">  7.</t>
  </si>
  <si>
    <t xml:space="preserve"> </t>
  </si>
  <si>
    <t>TOTAL SENIOR PERSONNEL (1-6)</t>
  </si>
  <si>
    <t xml:space="preserve"> B. OTHER PERSONNEL (SHOW NUMBERS IN BRACKETS)</t>
  </si>
  <si>
    <t>POST DOCTORAL ASSOCIATES</t>
  </si>
  <si>
    <t>OTHER PROFESSIONALS (TECHNICIAN, PROGRAMMER, ETC.)</t>
  </si>
  <si>
    <t>GRADUATE STUDENTS</t>
  </si>
  <si>
    <t>UNDERGRADUATE STUDENTS</t>
  </si>
  <si>
    <t>SECRETARIAL - CLERICAL (IF CHARGED DIRECTLY)</t>
  </si>
  <si>
    <t xml:space="preserve">  6. </t>
  </si>
  <si>
    <t>OTHER</t>
  </si>
  <si>
    <t>TOTAL SALARIES AND WAGES (A + B)</t>
  </si>
  <si>
    <t xml:space="preserve"> C.  FRINGE BENEFITS (IF CHARGED AS DIRECT COSTS)</t>
  </si>
  <si>
    <t>TOTAL SALARIES, WAGES  AND FRINGE BENEFITS (A+B+C)</t>
  </si>
  <si>
    <t>TOTAL SALARIES, WAGES AND FRINGE BENEFITS (A+B+C)</t>
  </si>
  <si>
    <t xml:space="preserve"> D.  EQUIPMENT (LIST ITEM AND DOLLAR AMOUNT FOR EACH ITEM EXCEEDING $5,000.)</t>
  </si>
  <si>
    <t xml:space="preserve"> D.   EQUIPMENT (LIST ITEM AND DOLLAR AMOUNT FOR EACH ITEM EXCEEDING $5,000.)</t>
  </si>
  <si>
    <t>TOTAL EQUIPMENT</t>
  </si>
  <si>
    <t xml:space="preserve"> E.  TRAVEL  1.  DOMESTIC (INCL. CANADA AND U.S. POSSESSIONS)</t>
  </si>
  <si>
    <t xml:space="preserve">                      2.  FOREIGN</t>
  </si>
  <si>
    <t xml:space="preserve">                     2.  FOREIGN</t>
  </si>
  <si>
    <t xml:space="preserve"> F.  PARTICIPANT SUPPORT COSTS</t>
  </si>
  <si>
    <t xml:space="preserve">  1.  STIPENDS</t>
  </si>
  <si>
    <t xml:space="preserve">  2.  TRAVEL</t>
  </si>
  <si>
    <t xml:space="preserve">  3.  SUBSISTENCE</t>
  </si>
  <si>
    <t xml:space="preserve">  4.  OTHER</t>
  </si>
  <si>
    <t xml:space="preserve">         (</t>
  </si>
  <si>
    <t>) TOTAL PARTICIPANT COSTS</t>
  </si>
  <si>
    <t xml:space="preserve"> G.  OTHER DIRECT COSTS</t>
  </si>
  <si>
    <t xml:space="preserve">  1. MATERIALS AND SUPPLIES</t>
  </si>
  <si>
    <t xml:space="preserve">  2.  PUBLICATION COSTS/DOCUMENTATION/DISSEMINATION</t>
  </si>
  <si>
    <t xml:space="preserve">  3.  CONSULTANT SERVICES</t>
  </si>
  <si>
    <t xml:space="preserve">  4.  COMPUTER SERVICES</t>
  </si>
  <si>
    <t xml:space="preserve">  5.  SUBAWARDS</t>
  </si>
  <si>
    <t>Amount subject to Indirect:</t>
  </si>
  <si>
    <t xml:space="preserve">  6.  OTHER</t>
  </si>
  <si>
    <t xml:space="preserve">Tuition = </t>
  </si>
  <si>
    <t>TOTAL OTHER DIRECT COSTS</t>
  </si>
  <si>
    <t xml:space="preserve"> H.  TOTAL DIRECT COSTS (A THROUGH G)</t>
  </si>
  <si>
    <t xml:space="preserve">  I.  INDIRECT COSTS (F&amp;A) (SPECIFY RATE AND BASE)</t>
  </si>
  <si>
    <t>Modified Total Direct Costs</t>
  </si>
  <si>
    <t xml:space="preserve"> TOTAL INDIRECT COSTS (F&amp;A)</t>
  </si>
  <si>
    <t>Base Amount:</t>
  </si>
  <si>
    <t xml:space="preserve"> J.  TOTAL DIRECT AND INDIRECT COSTS (H + I)</t>
  </si>
  <si>
    <t xml:space="preserve"> K.  RESIDUAL FUNDS (IF FOR FURTHER SUPPORT OF CURRENT PROJECTS SEE GPG II.D.7.j.)</t>
  </si>
  <si>
    <t xml:space="preserve"> L.  AMOUNT OF THIS REQUEST (J) OR (J MINUS K)</t>
  </si>
  <si>
    <t xml:space="preserve"> M. COST SHARING: PROPOSED LEVEL $</t>
  </si>
  <si>
    <t>AGREED LEVEL IF DIFFERENT $</t>
  </si>
  <si>
    <t xml:space="preserve"> PI/PD TYPED NAME &amp; SIGNATURE*</t>
  </si>
  <si>
    <t>DATE</t>
  </si>
  <si>
    <t xml:space="preserve">                 FOR NSF USE ONLY</t>
  </si>
  <si>
    <t xml:space="preserve">       INDIRECT COST RATE VERIFICATION</t>
  </si>
  <si>
    <t>ORG. REP. TYPED NAME &amp; SIGNATURE*</t>
  </si>
  <si>
    <t>Date Checked</t>
  </si>
  <si>
    <t>Date of Rate Sheet</t>
  </si>
  <si>
    <t>Initials-ORG</t>
  </si>
  <si>
    <t xml:space="preserve"> ORG. REP. TYPED NAME &amp; SIGNATURE*</t>
  </si>
  <si>
    <t xml:space="preserve"> NSF Form 1030 (10/99) Supersedes All Previous Editions</t>
  </si>
  <si>
    <t>*SIGNATURES REQUIRED ONLY FOR REVISED BUDGET (GPG III.C)</t>
  </si>
  <si>
    <r>
      <t xml:space="preserve">Sum of </t>
    </r>
    <r>
      <rPr>
        <b/>
        <sz val="8"/>
        <color indexed="8"/>
        <rFont val="Arial"/>
        <family val="2"/>
      </rPr>
      <t>all other Direct Costs</t>
    </r>
    <r>
      <rPr>
        <sz val="8"/>
        <color indexed="8"/>
        <rFont val="Arial"/>
        <family val="2"/>
      </rPr>
      <t xml:space="preserve">, </t>
    </r>
    <r>
      <rPr>
        <b/>
        <sz val="8"/>
        <color indexed="8"/>
        <rFont val="Arial"/>
        <family val="2"/>
      </rPr>
      <t>NOT tuitio</t>
    </r>
    <r>
      <rPr>
        <sz val="8"/>
        <color indexed="8"/>
        <rFont val="Arial"/>
        <family val="2"/>
      </rPr>
      <t>n =</t>
    </r>
  </si>
  <si>
    <t>Fringe Benefit Rates:</t>
  </si>
  <si>
    <t>Indirect Cost Rates:</t>
  </si>
  <si>
    <t>[maximum allowable rate @ http://www.nsf.gov/bfa/dias/policy/]</t>
  </si>
  <si>
    <t>Undergraduate</t>
  </si>
  <si>
    <t>(UG)</t>
  </si>
  <si>
    <t>Funds Requested</t>
  </si>
  <si>
    <t>select 1/4-time/1/2-time &gt; &gt;</t>
  </si>
  <si>
    <t>1/4-time</t>
  </si>
  <si>
    <t>Graduate Student Tuition</t>
  </si>
  <si>
    <t>Maximum</t>
  </si>
  <si>
    <t>Minimum</t>
  </si>
  <si>
    <r>
      <t>Masters Students</t>
    </r>
    <r>
      <rPr>
        <sz val="10"/>
        <rFont val="Arial"/>
        <family val="2"/>
      </rPr>
      <t xml:space="preserve"> (enter no. of students per term)</t>
    </r>
  </si>
  <si>
    <t>Summer</t>
  </si>
  <si>
    <t>Fall</t>
  </si>
  <si>
    <t>Spring</t>
  </si>
  <si>
    <r>
      <t>PhD Students</t>
    </r>
    <r>
      <rPr>
        <sz val="10"/>
        <rFont val="Arial"/>
        <family val="2"/>
      </rPr>
      <t xml:space="preserve"> (enter no. of students per term)</t>
    </r>
  </si>
  <si>
    <t>1/2-time</t>
  </si>
  <si>
    <t>Masters - Min</t>
  </si>
  <si>
    <t>Masters-Max</t>
  </si>
  <si>
    <t>PhD - Min</t>
  </si>
  <si>
    <t>PhD - Max</t>
  </si>
  <si>
    <t>Sponsor:</t>
  </si>
  <si>
    <t xml:space="preserve">Title: </t>
  </si>
  <si>
    <t xml:space="preserve">PI Name: </t>
  </si>
  <si>
    <t>Period of Performance:</t>
  </si>
  <si>
    <t>GoldSheet Number:</t>
  </si>
  <si>
    <t>Account Number:</t>
  </si>
  <si>
    <t>Budget Categories</t>
  </si>
  <si>
    <t>Budget Code</t>
  </si>
  <si>
    <t>Amount</t>
  </si>
  <si>
    <t>Salary/Hourly</t>
  </si>
  <si>
    <t>0108</t>
  </si>
  <si>
    <t>Payroll Benefits</t>
  </si>
  <si>
    <t>0130</t>
  </si>
  <si>
    <t>Equipment</t>
  </si>
  <si>
    <t>0710</t>
  </si>
  <si>
    <t>Travel Domestic</t>
  </si>
  <si>
    <t>0215</t>
  </si>
  <si>
    <t>Travel Foreign</t>
  </si>
  <si>
    <t>0216</t>
  </si>
  <si>
    <t>Student Tuition</t>
  </si>
  <si>
    <t>0610</t>
  </si>
  <si>
    <t>Supplies</t>
  </si>
  <si>
    <t>0410</t>
  </si>
  <si>
    <t>Subcontracts</t>
  </si>
  <si>
    <t>Subject to IDC</t>
  </si>
  <si>
    <t>0396</t>
  </si>
  <si>
    <t>Not Subejct to IDC</t>
  </si>
  <si>
    <t>0376</t>
  </si>
  <si>
    <t>Other Direct Costs</t>
  </si>
  <si>
    <t>Telecom Charges</t>
  </si>
  <si>
    <t>0340</t>
  </si>
  <si>
    <t>Computer Usage</t>
  </si>
  <si>
    <t>0353</t>
  </si>
  <si>
    <t>Printing/Copying</t>
  </si>
  <si>
    <t>0373</t>
  </si>
  <si>
    <t>Services/Honoraria</t>
  </si>
  <si>
    <t>0302</t>
  </si>
  <si>
    <t>Postage</t>
  </si>
  <si>
    <t>0379</t>
  </si>
  <si>
    <t xml:space="preserve">Other  </t>
  </si>
  <si>
    <t>0630</t>
  </si>
  <si>
    <t>Total Direct Costs</t>
  </si>
  <si>
    <t>Indirect Costs</t>
  </si>
  <si>
    <t>0642</t>
  </si>
  <si>
    <t>Total Costs</t>
  </si>
  <si>
    <t>NSF</t>
  </si>
  <si>
    <t xml:space="preserve">           Tuition Costs</t>
  </si>
  <si>
    <t>Fall 2019</t>
  </si>
  <si>
    <t>Summer 2019</t>
  </si>
  <si>
    <r>
      <t xml:space="preserve">Graduate Student Tuition </t>
    </r>
    <r>
      <rPr>
        <b/>
        <sz val="12"/>
        <rFont val="Arial"/>
        <family val="2"/>
      </rPr>
      <t>(most Majors)</t>
    </r>
  </si>
  <si>
    <t>Graduate Student Tuition (most majors)</t>
  </si>
  <si>
    <r>
      <t xml:space="preserve">Graduate Student Tuition </t>
    </r>
    <r>
      <rPr>
        <b/>
        <sz val="12"/>
        <rFont val="Arial"/>
        <family val="2"/>
      </rPr>
      <t>(Engineering &amp; Architecture)</t>
    </r>
  </si>
  <si>
    <t>Engineering &amp; Architecture Students Only</t>
  </si>
  <si>
    <r>
      <t xml:space="preserve">Graduate Student Tuition </t>
    </r>
    <r>
      <rPr>
        <b/>
        <sz val="12"/>
        <rFont val="Arial"/>
        <family val="2"/>
      </rPr>
      <t>(Business &amp; STB)</t>
    </r>
  </si>
  <si>
    <t>Business and STB Students Only</t>
  </si>
  <si>
    <t>Fall 2020</t>
  </si>
  <si>
    <t>Fall 2021</t>
  </si>
  <si>
    <t>Spring 2020</t>
  </si>
  <si>
    <t>Spring 2021</t>
  </si>
  <si>
    <t>Summer 2020</t>
  </si>
  <si>
    <t>Summer 2021</t>
  </si>
  <si>
    <t>Spring 2022</t>
  </si>
  <si>
    <t>Fall 2022</t>
  </si>
  <si>
    <t>Summer 2022</t>
  </si>
  <si>
    <t>Spring 2023</t>
  </si>
  <si>
    <t>Fall 2023</t>
  </si>
  <si>
    <t>Spring 2024</t>
  </si>
  <si>
    <t>Summer 2023</t>
  </si>
  <si>
    <t>Fall 2024</t>
  </si>
  <si>
    <t>Summer 2024</t>
  </si>
  <si>
    <t>*Specific Graduate Departments</t>
  </si>
  <si>
    <r>
      <t xml:space="preserve">Graduate Student Tuition </t>
    </r>
    <r>
      <rPr>
        <b/>
        <sz val="12"/>
        <rFont val="Arial"/>
        <family val="2"/>
      </rPr>
      <t>(*Specific Graduate Departments)</t>
    </r>
  </si>
  <si>
    <t>*Animal Sci, Comp Sci, GDCB, Microbiology, Plant Path, BBMB, EEOB, Industrial Design, NREM</t>
  </si>
  <si>
    <t>FY21</t>
  </si>
  <si>
    <t>FY22</t>
  </si>
  <si>
    <t>Salary Escalation</t>
  </si>
  <si>
    <t>Specific Graduate Departments</t>
  </si>
  <si>
    <t>Tool to Calculate Split F&amp;A Rates for a Project Period</t>
  </si>
  <si>
    <t>INSTRUCTIONS:</t>
  </si>
  <si>
    <t>Use this tool to help you calculate split F&amp;A for budgeting purposes. By entering the Project Budget amount, and start and end dates, this tool will calculate the correct F&amp;A rate for the period.</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</si>
  <si>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</si>
  <si>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Please be aware that if your Project period Start and End dates span multiple F&amp;A effective dates, you will need to add the additional effective dates and rates to the Project Activity&gt;FA Rates tab in EFS.</t>
  </si>
  <si>
    <r>
      <t xml:space="preserve">See the job aid: </t>
    </r>
    <r>
      <rPr>
        <b/>
        <sz val="10"/>
        <rFont val="Arial"/>
        <family val="2"/>
      </rPr>
      <t>Setting up F&amp;A on a Project Using Split Rates</t>
    </r>
  </si>
  <si>
    <t>This tool is set up to accommodate up to 7 separate Project Budget periods and will provide a Grand Total of all budget periods.</t>
  </si>
  <si>
    <t>Total MTDC</t>
  </si>
  <si>
    <t>Total F&amp;A</t>
  </si>
  <si>
    <t>PROJECT GRAND TOTALS:</t>
  </si>
  <si>
    <t>1st Budget Period</t>
  </si>
  <si>
    <t>Enter</t>
  </si>
  <si>
    <t>Calculated</t>
  </si>
  <si>
    <t>Enter Amount:</t>
  </si>
  <si>
    <t>Reference Only 
Rate Table:</t>
  </si>
  <si>
    <t>Dates:</t>
  </si>
  <si>
    <t>Total # Months</t>
  </si>
  <si>
    <t>Total MTDC for the Period</t>
  </si>
  <si>
    <t>MTDC Daily Rate</t>
  </si>
  <si>
    <t>Days at Rate</t>
  </si>
  <si>
    <t>Months at Rate</t>
  </si>
  <si>
    <t>Use Rate</t>
  </si>
  <si>
    <t>F&amp;A Amount</t>
  </si>
  <si>
    <t>MTDC Amount</t>
  </si>
  <si>
    <t>Use F&amp;A Rate Effective Date</t>
  </si>
  <si>
    <t>F&amp;A Rate End</t>
  </si>
  <si>
    <t>F&amp;A Rate %</t>
  </si>
  <si>
    <t>Project Start Date</t>
  </si>
  <si>
    <t>Project End Date</t>
  </si>
  <si>
    <t>Totals:</t>
  </si>
  <si>
    <t>2nd Budget Period</t>
  </si>
  <si>
    <t>3rd Budget Period</t>
  </si>
  <si>
    <t>4th Budget Period</t>
  </si>
  <si>
    <t>5th Budget Period</t>
  </si>
  <si>
    <t>Start Date</t>
  </si>
  <si>
    <t>End Date</t>
  </si>
  <si>
    <t xml:space="preserve">be used for projects submitted to sponsors other than NSF. </t>
  </si>
  <si>
    <t>Iowa State University Budget Template- National Science Foundation</t>
  </si>
  <si>
    <t>This budget template is intended to be used for NSF projects. It is not properly formatted to</t>
  </si>
  <si>
    <t>You may safely type into any yellow cell.  Other cells may have formulas that shouldn't be edited.</t>
  </si>
  <si>
    <r>
      <t xml:space="preserve">Graduate Student Tuition </t>
    </r>
    <r>
      <rPr>
        <b/>
        <sz val="12"/>
        <rFont val="Arial"/>
        <family val="2"/>
      </rPr>
      <t>(Experiential Based Majors)</t>
    </r>
  </si>
  <si>
    <t xml:space="preserve">Experiential Based Majors </t>
  </si>
  <si>
    <t>esc. Rate</t>
  </si>
  <si>
    <t xml:space="preserve">Most Majors </t>
  </si>
  <si>
    <t>Fall 2025</t>
  </si>
  <si>
    <t>Spring 2025</t>
  </si>
  <si>
    <t>Spring 2026</t>
  </si>
  <si>
    <t>Summer 2025</t>
  </si>
  <si>
    <t xml:space="preserve">Engineering </t>
  </si>
  <si>
    <t>Business &amp; Seed Technology</t>
  </si>
  <si>
    <t>Experiential Learning Based Majors</t>
  </si>
  <si>
    <t xml:space="preserve">Architecture </t>
  </si>
  <si>
    <t>BOB Budget Code to Workday Ledger Account and Object Class Crosswalk</t>
  </si>
  <si>
    <t>Ledger Account Summaries</t>
  </si>
  <si>
    <t>Reference ID</t>
  </si>
  <si>
    <t>Object Class ID</t>
  </si>
  <si>
    <t>Debit</t>
  </si>
  <si>
    <t>Credit</t>
  </si>
  <si>
    <t>AB_Salaries/Wages</t>
  </si>
  <si>
    <t>Salaries/Wages</t>
  </si>
  <si>
    <t>AB_Payroll Benefits</t>
  </si>
  <si>
    <t>AB_Payroll_Benefits</t>
  </si>
  <si>
    <t>AB_Equipment</t>
  </si>
  <si>
    <t>AB_Travel - Domestic</t>
  </si>
  <si>
    <t>AB_Travel-Domestic</t>
  </si>
  <si>
    <t>Travel - Domestic</t>
  </si>
  <si>
    <t>AB_Travel - Foreign</t>
  </si>
  <si>
    <t>AB_Travel-Foreign</t>
  </si>
  <si>
    <t>Travel - Foreign</t>
  </si>
  <si>
    <t>AB_Student Tuition</t>
  </si>
  <si>
    <t>AB_Student_Tuition</t>
  </si>
  <si>
    <t>AB_Supplies/Materials</t>
  </si>
  <si>
    <t>Supplies/Materials</t>
  </si>
  <si>
    <t>AB_Subcontracts - Burdenable</t>
  </si>
  <si>
    <t>AB_Subcontracts-Burdenable</t>
  </si>
  <si>
    <t>Subcontracts - Burdenable</t>
  </si>
  <si>
    <t>AB_Subcontracts - Nonburdenable</t>
  </si>
  <si>
    <t>AB_Subcontracts-Nonburdenable</t>
  </si>
  <si>
    <t>Subcontracts - Nonburdenable</t>
  </si>
  <si>
    <t>AB_Telecom Charges</t>
  </si>
  <si>
    <t>AB_Telecom_Charges</t>
  </si>
  <si>
    <t>AB_Computer Usage</t>
  </si>
  <si>
    <t>AB_Computer_Usage</t>
  </si>
  <si>
    <t>AB_Printing/Copying</t>
  </si>
  <si>
    <t>AB_Honoraria/Services</t>
  </si>
  <si>
    <t>Honoraria/Services</t>
  </si>
  <si>
    <t>AB_Postage</t>
  </si>
  <si>
    <t>AB_Other Direct Costs</t>
  </si>
  <si>
    <t>AB_Other_Direct_Costs</t>
  </si>
  <si>
    <t>AB_Indirect_Cost</t>
  </si>
  <si>
    <t>Indirect Cost</t>
  </si>
  <si>
    <t>AB_Participant Support</t>
  </si>
  <si>
    <t>AB_Participant_Support</t>
  </si>
  <si>
    <t>Participant Support</t>
  </si>
  <si>
    <t>WD Load Input and Instructions</t>
  </si>
  <si>
    <t>Step 1: Run Workday Report "Award Budget Creation EIB for BOB"</t>
  </si>
  <si>
    <t>- Enter the single/prime grant account in search criteria and select "OK" to run report</t>
  </si>
  <si>
    <t>- Copy and paste results only from report (not including heading) into the below table starting in cell D6</t>
  </si>
  <si>
    <t>Award_Reference_ID</t>
  </si>
  <si>
    <t>Award Posting Interval</t>
  </si>
  <si>
    <t>Grant</t>
  </si>
  <si>
    <t>Cost Center</t>
  </si>
  <si>
    <t>Business Unit</t>
  </si>
  <si>
    <t>Fund</t>
  </si>
  <si>
    <t>Function</t>
  </si>
  <si>
    <t>Assignee</t>
  </si>
  <si>
    <t>IRT</t>
  </si>
  <si>
    <t>Department Detail</t>
  </si>
  <si>
    <t>Field Number</t>
  </si>
  <si>
    <t>Step 2: Provide Budget Memo</t>
  </si>
  <si>
    <t>- Budget Memo should include Goldsheet Number and Grant ID</t>
  </si>
  <si>
    <t>- Format example: "######### / GR#####"</t>
  </si>
  <si>
    <t>Budget Memo</t>
  </si>
  <si>
    <t xml:space="preserve">Step 3: (Automatic) Population of the WD Budget Load Sheets </t>
  </si>
  <si>
    <t>- The following WD Budget Sheets will be auto-populated from the user input on this sheet and the rest of the BOB:</t>
  </si>
  <si>
    <t>- WD Load - Output Sheet 1</t>
  </si>
  <si>
    <t>- WD Load - Output Sheet 2</t>
  </si>
  <si>
    <t xml:space="preserve">Step 4: Copy and Paste Values </t>
  </si>
  <si>
    <t xml:space="preserve">- Copy the results from both WD Budget Load Sheets on this workbook and paste into the EIB template for Award Budget </t>
  </si>
  <si>
    <t>Step 5: Save Award Budget Creation EIB</t>
  </si>
  <si>
    <t>- TBD Provide details on file naming convention and save location</t>
  </si>
  <si>
    <t>Step 6: Launch EIB Load in Workday</t>
  </si>
  <si>
    <t>- Run the task called "Launch / Schedule Integration" in Workday</t>
  </si>
  <si>
    <t>- Enter "Award Budget" in the integration field and select OK</t>
  </si>
  <si>
    <t>Import Budget High Volume</t>
  </si>
  <si>
    <t>Area</t>
  </si>
  <si>
    <t>All</t>
  </si>
  <si>
    <t>Comment Data (All &gt; Business Process Parameters)</t>
  </si>
  <si>
    <t>Budget Data (All)</t>
  </si>
  <si>
    <t>Restrictions</t>
  </si>
  <si>
    <t>Required</t>
  </si>
  <si>
    <t>Optional</t>
  </si>
  <si>
    <t>Format</t>
  </si>
  <si>
    <t>Text</t>
  </si>
  <si>
    <t>Plan_ID</t>
  </si>
  <si>
    <t>Budget_Import_Mode_ID</t>
  </si>
  <si>
    <t>Y/N</t>
  </si>
  <si>
    <t>Contingent_Worker_ID</t>
  </si>
  <si>
    <t>Budget_Structure_ID</t>
  </si>
  <si>
    <t>Fields</t>
  </si>
  <si>
    <t>Header Key*</t>
  </si>
  <si>
    <t>Budget</t>
  </si>
  <si>
    <t>Import Mode</t>
  </si>
  <si>
    <t>Auto Complete</t>
  </si>
  <si>
    <t>Comment</t>
  </si>
  <si>
    <t>Worker</t>
  </si>
  <si>
    <t>Submit</t>
  </si>
  <si>
    <t>Budget Structure*</t>
  </si>
  <si>
    <t>Budget Name*</t>
  </si>
  <si>
    <t>INCREMENTAL_ADD_ONLY</t>
  </si>
  <si>
    <t xml:space="preserve">Y </t>
  </si>
  <si>
    <t>AB_Award_Budget_Cumulative</t>
  </si>
  <si>
    <t>Budget Lines Data</t>
  </si>
  <si>
    <t>Company_Reference_ID</t>
  </si>
  <si>
    <t>Number</t>
  </si>
  <si>
    <t>Award_Posting_Interval_ID</t>
  </si>
  <si>
    <t>Ledger_Account_Summary_ID</t>
  </si>
  <si>
    <t>Account_Set_ID</t>
  </si>
  <si>
    <t>Currency_ID</t>
  </si>
  <si>
    <t>Number (26,6)</t>
  </si>
  <si>
    <t>Grant_ID</t>
  </si>
  <si>
    <t>Cost_Center_Reference_ID</t>
  </si>
  <si>
    <t>Business_Unit_ID</t>
  </si>
  <si>
    <t>Fund_ID</t>
  </si>
  <si>
    <t>Custom_Organization_Reference_ID</t>
  </si>
  <si>
    <t>Object_Class_ID</t>
  </si>
  <si>
    <t>Header Key</t>
  </si>
  <si>
    <t>Line Key</t>
  </si>
  <si>
    <t>Line Order</t>
  </si>
  <si>
    <t>Company*</t>
  </si>
  <si>
    <t>Year</t>
  </si>
  <si>
    <t>Fiscal Time Interval*</t>
  </si>
  <si>
    <t>Ledger Account or Ledger Account Summary</t>
  </si>
  <si>
    <t>Account Set</t>
  </si>
  <si>
    <t>Budget Currency</t>
  </si>
  <si>
    <t>Budget Debit Amount</t>
  </si>
  <si>
    <t>Budget Credit Amount</t>
  </si>
  <si>
    <t>Memo</t>
  </si>
  <si>
    <t>Object Class</t>
  </si>
  <si>
    <t>ISU Resource Type</t>
  </si>
  <si>
    <t>1</t>
  </si>
  <si>
    <t>CO10</t>
  </si>
  <si>
    <t>Isu_Standard_Account_Set_Parent</t>
  </si>
  <si>
    <t>Fall 2026</t>
  </si>
  <si>
    <t>Spring 2027</t>
  </si>
  <si>
    <t>Summer 2026</t>
  </si>
  <si>
    <t>FY23</t>
  </si>
  <si>
    <t>FY24</t>
  </si>
  <si>
    <t>Eff 8/1/2020</t>
  </si>
  <si>
    <t>Updated 8/04/2020</t>
  </si>
  <si>
    <t>James Lathrop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</si>
</sst>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0_);\(&quot;$&quot;#,##0\)"/>
    <numFmt numFmtId="44" formatCode="_(&quot;$&quot;* #,##0.00_);_(&quot;$&quot;* \(#,##0.00\);_(&quot;$&quot;* &quot;-&quot;??_);_(@_)"/>
    <numFmt numFmtId="43" formatCode="_(* #,##0.00_);_(* \(#,##0.00\);_(* &quot;-&quot;??_);_(@_)"/>
    <numFmt numFmtId="164" formatCode="&quot;$&quot;#,##0\ ;\(&quot;$&quot;#,##0\)"/>
    <numFmt numFmtId="165" formatCode="&quot;$&quot;#,##0.00\ ;\(&quot;$&quot;#,##0.00\)"/>
    <numFmt numFmtId="166" formatCode="0.0%"/>
    <numFmt numFmtId="167" formatCode="0.0"/>
    <numFmt numFmtId="168" formatCode="&quot;$&quot;#,##0"/>
    <numFmt numFmtId="169" formatCode="_(* #,##0.000_);_(* \(#,##0.000\);_(* &quot;-&quot;???_);_(@_)"/>
  </numFmts>
  <fonts count="61" x14ac:knownFonts="1">
    <font>
      <sz val="8"/>
      <color indexed="22"/>
      <name val="Arial"/>
    </font>
    <font>
      <sz val="11"/>
      <color theme="1"/>
      <name val="Calibri"/>
      <family val="2"/>
      <scheme val="minor"/>
    </font>
    <font>
      <sz val="11"/>
      <color theme="1"/>
      <name val="Calibri"/>
      <family val="2"/>
      <scheme val="minor"/>
    </font>
    <font>
      <b/>
      <sz val="8"/>
      <color indexed="22"/>
      <name val="Arial"/>
      <family val="2"/>
    </font>
    <font>
      <b/>
      <sz val="10"/>
      <color indexed="22"/>
      <name val="Arial"/>
      <family val="2"/>
    </font>
    <font>
      <b/>
      <sz val="10"/>
      <color indexed="8"/>
      <name val="Arial"/>
      <family val="2"/>
    </font>
    <font>
      <sz val="8"/>
      <color indexed="8"/>
      <name val="Arial"/>
      <family val="2"/>
    </font>
    <font>
      <b/>
      <sz val="8"/>
      <color indexed="8"/>
      <name val="Arial"/>
      <family val="2"/>
    </font>
    <font>
      <b/>
      <sz val="7"/>
      <color indexed="8"/>
      <name val="Arial"/>
      <family val="2"/>
    </font>
    <font>
      <sz val="10"/>
      <color indexed="8"/>
      <name val="Arial"/>
      <family val="2"/>
    </font>
    <font>
      <sz val="6"/>
      <color indexed="8"/>
      <name val="Arial"/>
      <family val="2"/>
    </font>
    <font>
      <sz val="11"/>
      <color indexed="8"/>
      <name val="Arial"/>
      <family val="2"/>
    </font>
    <font>
      <sz val="8"/>
      <color indexed="8"/>
      <name val="Arial"/>
      <family val="2"/>
    </font>
    <font>
      <b/>
      <sz val="10"/>
      <color indexed="8"/>
      <name val="Arial"/>
      <family val="2"/>
    </font>
    <font>
      <sz val="12"/>
      <color indexed="8"/>
      <name val="Arial"/>
      <family val="2"/>
    </font>
    <font>
      <b/>
      <sz val="9"/>
      <color indexed="10"/>
      <name val="Tahoma"/>
      <family val="2"/>
    </font>
    <font>
      <sz val="10"/>
      <color indexed="8"/>
      <name val="Arial"/>
      <family val="2"/>
    </font>
    <font>
      <b/>
      <sz val="10"/>
      <color indexed="10"/>
      <name val="Arial"/>
      <family val="2"/>
    </font>
    <font>
      <b/>
      <sz val="9"/>
      <color indexed="8"/>
      <name val="Tahoma"/>
      <family val="2"/>
    </font>
    <font>
      <u/>
      <sz val="6.8"/>
      <color indexed="12"/>
      <name val="Arial"/>
      <family val="2"/>
    </font>
    <font>
      <u/>
      <sz val="9"/>
      <color indexed="12"/>
      <name val="Arial"/>
      <family val="2"/>
    </font>
    <font>
      <sz val="8"/>
      <color indexed="22"/>
      <name val="Arial"/>
      <family val="2"/>
    </font>
    <font>
      <b/>
      <sz val="9"/>
      <color indexed="81"/>
      <name val="Tahoma"/>
      <family val="2"/>
    </font>
    <font>
      <sz val="10"/>
      <name val="Arial"/>
      <family val="2"/>
    </font>
    <font>
      <sz val="12"/>
      <name val="Arial"/>
      <family val="2"/>
    </font>
    <font>
      <b/>
      <sz val="12"/>
      <name val="Arial"/>
      <family val="2"/>
    </font>
    <font>
      <b/>
      <sz val="10"/>
      <name val="Arial"/>
      <family val="2"/>
    </font>
    <font>
      <sz val="10"/>
      <color indexed="22"/>
      <name val="Arial"/>
      <family val="2"/>
    </font>
    <font>
      <u/>
      <sz val="10"/>
      <color indexed="12"/>
      <name val="Arial"/>
      <family val="2"/>
    </font>
    <font>
      <b/>
      <u/>
      <sz val="10"/>
      <color indexed="8"/>
      <name val="Arial"/>
      <family val="2"/>
    </font>
    <font>
      <sz val="9"/>
      <color indexed="81"/>
      <name val="Tahoma"/>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5"/>
      <color theme="3"/>
      <name val="Calibri"/>
      <family val="2"/>
      <scheme val="minor"/>
    </font>
    <font>
      <b/>
      <sz val="13"/>
      <color theme="3"/>
      <name val="Calibri"/>
      <family val="2"/>
      <scheme val="minor"/>
    </font>
    <font>
      <b/>
      <sz val="11"/>
      <color theme="1"/>
      <name val="Calibri"/>
      <family val="2"/>
      <scheme val="minor"/>
    </font>
    <font>
      <sz val="10"/>
      <color theme="9" tint="-0.249977111117893"/>
      <name val="Arial"/>
      <family val="2"/>
    </font>
    <font>
      <sz val="10"/>
      <color theme="0" tint="-0.14999847407452621"/>
      <name val="Arial"/>
      <family val="2"/>
    </font>
    <font>
      <sz val="8"/>
      <color theme="1"/>
      <name val="Arial"/>
      <family val="2"/>
    </font>
    <font>
      <sz val="8"/>
      <name val="Arial"/>
      <family val="2"/>
    </font>
    <font>
      <b/>
      <sz val="14"/>
      <color theme="3"/>
      <name val="Arial"/>
      <family val="2"/>
    </font>
    <font>
      <b/>
      <sz val="8"/>
      <color theme="1"/>
      <name val="Arial"/>
      <family val="2"/>
    </font>
    <font>
      <sz val="10"/>
      <color theme="1"/>
      <name val="Arial"/>
      <family val="2"/>
    </font>
    <font>
      <sz val="8"/>
      <color theme="5"/>
      <name val="Arial"/>
      <family val="2"/>
    </font>
    <font>
      <i/>
      <sz val="8"/>
      <color theme="5"/>
      <name val="Arial"/>
      <family val="2"/>
    </font>
    <font>
      <b/>
      <sz val="8"/>
      <name val="Arial"/>
      <family val="2"/>
    </font>
    <font>
      <sz val="10"/>
      <color rgb="FFFF0000"/>
      <name val="Arial"/>
      <family val="2"/>
    </font>
    <font>
      <b/>
      <sz val="14"/>
      <color indexed="18"/>
      <name val="Arial"/>
      <family val="2"/>
    </font>
    <font>
      <b/>
      <sz val="8"/>
      <color indexed="9"/>
      <name val="Arial"/>
      <family val="2"/>
    </font>
    <font>
      <sz val="8"/>
      <color indexed="23"/>
      <name val="Arial"/>
      <family val="2"/>
    </font>
  </fonts>
  <fills count="52">
    <fill>
      <patternFill patternType="none"/>
    </fill>
    <fill>
      <patternFill patternType="gray125"/>
    </fill>
    <fill>
      <patternFill patternType="gray0625"/>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FFFFCC"/>
        <bgColor indexed="64"/>
      </patternFill>
    </fill>
    <fill>
      <patternFill patternType="solid">
        <fgColor theme="3" tint="0.79998168889431442"/>
        <bgColor indexed="64"/>
      </patternFill>
    </fill>
    <fill>
      <patternFill patternType="solid">
        <fgColor rgb="FF75923C"/>
        <bgColor indexed="64"/>
      </patternFill>
    </fill>
    <fill>
      <patternFill patternType="solid">
        <fgColor rgb="FF333399"/>
        <bgColor indexed="64"/>
      </patternFill>
    </fill>
    <fill>
      <patternFill patternType="solid">
        <fgColor rgb="FF000066"/>
        <bgColor indexed="64"/>
      </patternFill>
    </fill>
    <fill>
      <patternFill patternType="lightGrid">
        <fgColor rgb="FFFFFFFF"/>
        <bgColor rgb="FFFFFFCC"/>
      </patternFill>
    </fill>
  </fills>
  <borders count="73">
    <border>
      <left/>
      <right/>
      <top/>
      <bottom/>
      <diagonal/>
    </border>
    <border>
      <left/>
      <right/>
      <top style="double">
        <color indexed="64"/>
      </top>
      <bottom/>
      <diagonal/>
    </border>
    <border>
      <left style="double">
        <color indexed="64"/>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medium">
        <color indexed="64"/>
      </bottom>
      <diagonal/>
    </border>
    <border>
      <left/>
      <right/>
      <top style="thin">
        <color indexed="64"/>
      </top>
      <bottom style="medium">
        <color indexed="64"/>
      </bottom>
      <diagonal/>
    </border>
    <border>
      <left/>
      <right/>
      <top/>
      <bottom style="double">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right/>
      <top style="thin">
        <color indexed="64"/>
      </top>
      <bottom style="double">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double">
        <color indexed="64"/>
      </left>
      <right/>
      <top/>
      <bottom style="double">
        <color indexed="64"/>
      </bottom>
      <diagonal/>
    </border>
    <border>
      <left/>
      <right style="double">
        <color indexed="64"/>
      </right>
      <top style="medium">
        <color indexed="64"/>
      </top>
      <bottom/>
      <diagonal/>
    </border>
    <border>
      <left style="double">
        <color indexed="64"/>
      </left>
      <right/>
      <top style="medium">
        <color indexed="64"/>
      </top>
      <bottom/>
      <diagonal/>
    </border>
    <border>
      <left style="medium">
        <color indexed="64"/>
      </left>
      <right style="thin">
        <color indexed="64"/>
      </right>
      <top style="thin">
        <color indexed="64"/>
      </top>
      <bottom/>
      <diagonal/>
    </border>
    <border>
      <left/>
      <right style="medium">
        <color indexed="64"/>
      </right>
      <top style="double">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double">
        <color indexed="64"/>
      </bottom>
      <diagonal/>
    </border>
  </borders>
  <cellStyleXfs count="75">
    <xf numFmtId="0" fontId="0" fillId="0" borderId="0"/>
    <xf numFmtId="3" fontId="21" fillId="0" borderId="0" applyFont="0" applyFill="0" applyBorder="0" applyAlignment="0" applyProtection="0"/>
    <xf numFmtId="165" fontId="21" fillId="0" borderId="0" applyFont="0" applyFill="0" applyBorder="0" applyAlignment="0" applyProtection="0"/>
    <xf numFmtId="164" fontId="21" fillId="0" borderId="0" applyFont="0" applyFill="0" applyBorder="0" applyAlignment="0" applyProtection="0"/>
    <xf numFmtId="0" fontId="21" fillId="0" borderId="0" applyFont="0" applyFill="0" applyBorder="0" applyAlignment="0" applyProtection="0"/>
    <xf numFmtId="2" fontId="21"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9" fillId="0" borderId="0" applyNumberFormat="0" applyFill="0" applyBorder="0" applyAlignment="0" applyProtection="0">
      <alignment vertical="top"/>
      <protection locked="0"/>
    </xf>
    <xf numFmtId="10" fontId="21" fillId="0" borderId="0" applyFont="0" applyFill="0" applyBorder="0" applyAlignment="0" applyProtection="0"/>
    <xf numFmtId="0" fontId="21" fillId="0" borderId="1" applyNumberFormat="0" applyFont="0" applyFill="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0" fontId="4"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alignment vertical="top"/>
      <protection locked="0"/>
    </xf>
    <xf numFmtId="9" fontId="23" fillId="0" borderId="0" applyFont="0" applyFill="0" applyBorder="0" applyAlignment="0" applyProtection="0"/>
    <xf numFmtId="9" fontId="23" fillId="0" borderId="0" applyFont="0" applyFill="0" applyBorder="0" applyAlignment="0" applyProtection="0"/>
    <xf numFmtId="0" fontId="21" fillId="0" borderId="1" applyNumberFormat="0" applyFont="0" applyFill="0" applyAlignment="0" applyProtection="0"/>
    <xf numFmtId="0" fontId="31" fillId="0" borderId="0" applyNumberFormat="0" applyFill="0" applyBorder="0" applyAlignment="0" applyProtection="0"/>
    <xf numFmtId="0" fontId="32" fillId="0" borderId="47" applyNumberFormat="0" applyFill="0" applyAlignment="0" applyProtection="0"/>
    <xf numFmtId="0" fontId="32" fillId="0" borderId="0" applyNumberFormat="0" applyFill="0" applyBorder="0" applyAlignment="0" applyProtection="0"/>
    <xf numFmtId="0" fontId="33" fillId="9" borderId="0" applyNumberFormat="0" applyBorder="0" applyAlignment="0" applyProtection="0"/>
    <xf numFmtId="0" fontId="34" fillId="10" borderId="0" applyNumberFormat="0" applyBorder="0" applyAlignment="0" applyProtection="0"/>
    <xf numFmtId="0" fontId="35" fillId="11" borderId="0" applyNumberFormat="0" applyBorder="0" applyAlignment="0" applyProtection="0"/>
    <xf numFmtId="0" fontId="36" fillId="12" borderId="48" applyNumberFormat="0" applyAlignment="0" applyProtection="0"/>
    <xf numFmtId="0" fontId="37" fillId="13" borderId="49" applyNumberFormat="0" applyAlignment="0" applyProtection="0"/>
    <xf numFmtId="0" fontId="38" fillId="13" borderId="48" applyNumberFormat="0" applyAlignment="0" applyProtection="0"/>
    <xf numFmtId="0" fontId="39" fillId="0" borderId="50" applyNumberFormat="0" applyFill="0" applyAlignment="0" applyProtection="0"/>
    <xf numFmtId="0" fontId="40" fillId="14" borderId="51" applyNumberFormat="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43" fillId="19" borderId="0" applyNumberFormat="0" applyBorder="0" applyAlignment="0" applyProtection="0"/>
    <xf numFmtId="0" fontId="43"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3" fillId="23" borderId="0" applyNumberFormat="0" applyBorder="0" applyAlignment="0" applyProtection="0"/>
    <xf numFmtId="0" fontId="43"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3" fillId="27" borderId="0" applyNumberFormat="0" applyBorder="0" applyAlignment="0" applyProtection="0"/>
    <xf numFmtId="0" fontId="43"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3" fillId="31" borderId="0" applyNumberFormat="0" applyBorder="0" applyAlignment="0" applyProtection="0"/>
    <xf numFmtId="0" fontId="43"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3" fillId="35" borderId="0" applyNumberFormat="0" applyBorder="0" applyAlignment="0" applyProtection="0"/>
    <xf numFmtId="0" fontId="43"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3" fillId="39" borderId="0" applyNumberFormat="0" applyBorder="0" applyAlignment="0" applyProtection="0"/>
    <xf numFmtId="0" fontId="2" fillId="0" borderId="0"/>
    <xf numFmtId="0" fontId="44" fillId="0" borderId="54" applyNumberFormat="0" applyFill="0" applyAlignment="0" applyProtection="0"/>
    <xf numFmtId="0" fontId="45" fillId="0" borderId="55" applyNumberFormat="0" applyFill="0" applyAlignment="0" applyProtection="0"/>
    <xf numFmtId="0" fontId="2" fillId="15" borderId="52" applyNumberFormat="0" applyFont="0" applyAlignment="0" applyProtection="0"/>
    <xf numFmtId="9" fontId="2" fillId="0" borderId="0" applyFont="0" applyFill="0" applyBorder="0" applyAlignment="0" applyProtection="0"/>
    <xf numFmtId="0" fontId="46" fillId="0" borderId="56" applyNumberFormat="0" applyFill="0" applyAlignment="0" applyProtection="0"/>
    <xf numFmtId="43" fontId="23" fillId="0" borderId="0" applyFont="0" applyFill="0" applyBorder="0" applyAlignment="0" applyProtection="0"/>
    <xf numFmtId="43"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10" fontId="21" fillId="0" borderId="0" applyFont="0" applyFill="0" applyBorder="0" applyAlignment="0" applyProtection="0"/>
  </cellStyleXfs>
  <cellXfs count="453">
    <xf numFmtId="0" fontId="0" fillId="0" borderId="0" xfId="0"/>
    <xf numFmtId="0" fontId="6" fillId="0" borderId="1" xfId="0" applyFont="1" applyBorder="1"/>
    <xf numFmtId="0" fontId="5" fillId="0" borderId="1" xfId="0" applyFont="1" applyBorder="1"/>
    <xf numFmtId="0" fontId="6" fillId="0" borderId="0" xfId="0" applyFont="1"/>
    <xf numFmtId="0" fontId="5" fillId="0" borderId="0" xfId="0" applyFont="1"/>
    <xf numFmtId="0" fontId="5" fillId="0" borderId="2" xfId="0" applyFont="1" applyBorder="1"/>
    <xf numFmtId="0" fontId="7" fillId="0" borderId="0" xfId="0" applyFont="1"/>
    <xf numFmtId="0" fontId="7" fillId="0" borderId="3" xfId="0" applyFont="1" applyBorder="1" applyAlignment="1">
      <alignment horizontal="centerContinuous"/>
    </xf>
    <xf numFmtId="0" fontId="6" fillId="0" borderId="4" xfId="0" applyFont="1" applyBorder="1" applyAlignment="1">
      <alignment horizontal="centerContinuous"/>
    </xf>
    <xf numFmtId="0" fontId="6" fillId="0" borderId="5" xfId="0" applyFont="1" applyBorder="1"/>
    <xf numFmtId="0" fontId="6" fillId="0" borderId="6" xfId="0" applyFont="1" applyBorder="1"/>
    <xf numFmtId="0" fontId="6" fillId="0" borderId="3" xfId="0" applyFont="1" applyBorder="1"/>
    <xf numFmtId="0" fontId="6" fillId="0" borderId="7" xfId="0" applyFont="1" applyBorder="1"/>
    <xf numFmtId="0" fontId="6" fillId="0" borderId="4" xfId="0" applyFont="1" applyBorder="1"/>
    <xf numFmtId="0" fontId="6" fillId="0" borderId="8" xfId="0" applyFont="1" applyBorder="1"/>
    <xf numFmtId="0" fontId="7" fillId="0" borderId="8" xfId="0" applyFont="1" applyBorder="1"/>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xf numFmtId="0" fontId="6" fillId="0" borderId="12" xfId="0" applyFont="1" applyBorder="1"/>
    <xf numFmtId="0" fontId="6" fillId="0" borderId="9" xfId="0" applyFont="1" applyBorder="1"/>
    <xf numFmtId="0" fontId="6" fillId="0" borderId="10" xfId="0" applyFont="1" applyBorder="1"/>
    <xf numFmtId="0" fontId="5" fillId="0" borderId="12" xfId="0" applyFont="1" applyBorder="1"/>
    <xf numFmtId="0" fontId="7" fillId="0" borderId="13" xfId="0" applyFont="1" applyBorder="1"/>
    <xf numFmtId="0" fontId="6" fillId="0" borderId="14" xfId="0" applyFont="1" applyBorder="1"/>
    <xf numFmtId="0" fontId="6" fillId="0" borderId="15" xfId="0" applyFont="1" applyBorder="1"/>
    <xf numFmtId="0" fontId="6" fillId="0" borderId="11" xfId="0" quotePrefix="1" applyFont="1" applyBorder="1"/>
    <xf numFmtId="0" fontId="7" fillId="0" borderId="9" xfId="0" applyFont="1" applyBorder="1" applyAlignment="1">
      <alignment horizontal="center"/>
    </xf>
    <xf numFmtId="0" fontId="7" fillId="0" borderId="10" xfId="0" applyFont="1" applyBorder="1" applyAlignment="1">
      <alignment horizontal="center"/>
    </xf>
    <xf numFmtId="0" fontId="7" fillId="0" borderId="9" xfId="0" applyFont="1" applyBorder="1"/>
    <xf numFmtId="0" fontId="7" fillId="0" borderId="10" xfId="0" applyFont="1" applyBorder="1"/>
    <xf numFmtId="0" fontId="7" fillId="0" borderId="5" xfId="0" applyFont="1" applyBorder="1" applyAlignment="1">
      <alignment horizontal="center"/>
    </xf>
    <xf numFmtId="0" fontId="8" fillId="0" borderId="16" xfId="0" applyFont="1" applyBorder="1" applyAlignment="1">
      <alignment horizontal="center"/>
    </xf>
    <xf numFmtId="0" fontId="7" fillId="0" borderId="5" xfId="0" applyFont="1" applyBorder="1"/>
    <xf numFmtId="0" fontId="8" fillId="0" borderId="16" xfId="0" applyFont="1" applyBorder="1"/>
    <xf numFmtId="0" fontId="6" fillId="0" borderId="0" xfId="0" applyFont="1" applyAlignment="1">
      <alignment horizontal="center"/>
    </xf>
    <xf numFmtId="0" fontId="7" fillId="0" borderId="16" xfId="0" applyFont="1" applyBorder="1" applyAlignment="1">
      <alignment horizontal="center"/>
    </xf>
    <xf numFmtId="0" fontId="7" fillId="0" borderId="16" xfId="0" applyFont="1" applyBorder="1"/>
    <xf numFmtId="3" fontId="7" fillId="0" borderId="10" xfId="0" applyNumberFormat="1" applyFont="1" applyBorder="1"/>
    <xf numFmtId="0" fontId="7" fillId="0" borderId="12" xfId="0" applyFont="1" applyBorder="1"/>
    <xf numFmtId="3" fontId="7" fillId="2" borderId="10" xfId="0" applyNumberFormat="1" applyFont="1" applyFill="1" applyBorder="1"/>
    <xf numFmtId="167" fontId="5" fillId="0" borderId="12" xfId="0" applyNumberFormat="1" applyFont="1" applyBorder="1"/>
    <xf numFmtId="0" fontId="6" fillId="0" borderId="11" xfId="0" quotePrefix="1" applyFont="1" applyBorder="1" applyAlignment="1">
      <alignment horizontal="left"/>
    </xf>
    <xf numFmtId="3" fontId="7" fillId="2" borderId="16" xfId="0" applyNumberFormat="1" applyFont="1" applyFill="1" applyBorder="1"/>
    <xf numFmtId="0" fontId="7" fillId="2" borderId="16" xfId="0" applyFont="1" applyFill="1" applyBorder="1"/>
    <xf numFmtId="0" fontId="6" fillId="0" borderId="17" xfId="0" applyFont="1" applyBorder="1"/>
    <xf numFmtId="0" fontId="6" fillId="0" borderId="8" xfId="0" quotePrefix="1" applyFont="1" applyBorder="1"/>
    <xf numFmtId="0" fontId="9" fillId="0" borderId="0" xfId="0" applyFont="1"/>
    <xf numFmtId="5" fontId="7" fillId="0" borderId="18" xfId="0" applyNumberFormat="1" applyFont="1" applyBorder="1"/>
    <xf numFmtId="0" fontId="9" fillId="0" borderId="18" xfId="0" applyFont="1" applyBorder="1"/>
    <xf numFmtId="164" fontId="7" fillId="0" borderId="0" xfId="0" applyNumberFormat="1" applyFont="1" applyAlignment="1">
      <alignment horizontal="left"/>
    </xf>
    <xf numFmtId="0" fontId="6" fillId="0" borderId="18" xfId="0" applyFont="1" applyBorder="1"/>
    <xf numFmtId="0" fontId="6" fillId="0" borderId="0" xfId="0" applyFont="1" applyBorder="1"/>
    <xf numFmtId="0" fontId="5" fillId="0" borderId="0" xfId="0" applyFont="1" applyBorder="1"/>
    <xf numFmtId="3" fontId="7" fillId="0" borderId="5" xfId="0" applyNumberFormat="1" applyFont="1" applyBorder="1"/>
    <xf numFmtId="0" fontId="5" fillId="0" borderId="3" xfId="0" applyFont="1" applyBorder="1"/>
    <xf numFmtId="0" fontId="7" fillId="0" borderId="4" xfId="0" applyFont="1" applyBorder="1"/>
    <xf numFmtId="0" fontId="6" fillId="0" borderId="20" xfId="0" applyFont="1" applyBorder="1"/>
    <xf numFmtId="0" fontId="6" fillId="0" borderId="21" xfId="0" applyFont="1" applyBorder="1"/>
    <xf numFmtId="0" fontId="6" fillId="0" borderId="22" xfId="0" applyFont="1" applyBorder="1"/>
    <xf numFmtId="0" fontId="5" fillId="0" borderId="21" xfId="0" applyFont="1" applyBorder="1"/>
    <xf numFmtId="0" fontId="5" fillId="0" borderId="22" xfId="0" applyFont="1" applyBorder="1"/>
    <xf numFmtId="0" fontId="7" fillId="0" borderId="23" xfId="0" applyFont="1" applyBorder="1"/>
    <xf numFmtId="3" fontId="7" fillId="0" borderId="24" xfId="0" applyNumberFormat="1" applyFont="1" applyBorder="1"/>
    <xf numFmtId="0" fontId="6" fillId="0" borderId="25" xfId="0" applyFont="1" applyBorder="1"/>
    <xf numFmtId="3" fontId="6" fillId="0" borderId="26" xfId="0" applyNumberFormat="1" applyFont="1" applyBorder="1"/>
    <xf numFmtId="0" fontId="6" fillId="0" borderId="27" xfId="0" applyFont="1" applyBorder="1"/>
    <xf numFmtId="3" fontId="6" fillId="0" borderId="28" xfId="0" applyNumberFormat="1" applyFont="1" applyBorder="1"/>
    <xf numFmtId="0" fontId="6" fillId="0" borderId="29" xfId="0" applyFont="1" applyBorder="1"/>
    <xf numFmtId="3" fontId="10" fillId="0" borderId="8" xfId="0" applyNumberFormat="1" applyFont="1" applyBorder="1" applyAlignment="1">
      <alignment horizontal="center"/>
    </xf>
    <xf numFmtId="3" fontId="10" fillId="0" borderId="5" xfId="0" applyNumberFormat="1" applyFont="1" applyBorder="1" applyAlignment="1">
      <alignment horizontal="center"/>
    </xf>
    <xf numFmtId="3" fontId="10" fillId="0" borderId="16" xfId="0" applyNumberFormat="1" applyFont="1" applyBorder="1" applyAlignment="1">
      <alignment horizontal="center"/>
    </xf>
    <xf numFmtId="0" fontId="6" fillId="0" borderId="16" xfId="0" applyFont="1" applyBorder="1"/>
    <xf numFmtId="0" fontId="6" fillId="0" borderId="13" xfId="0" applyFont="1" applyBorder="1"/>
    <xf numFmtId="0" fontId="6" fillId="0" borderId="30" xfId="0" applyFont="1" applyBorder="1"/>
    <xf numFmtId="3" fontId="6" fillId="0" borderId="13" xfId="0" applyNumberFormat="1" applyFont="1" applyBorder="1"/>
    <xf numFmtId="3" fontId="6" fillId="0" borderId="14" xfId="0" applyNumberFormat="1" applyFont="1" applyBorder="1"/>
    <xf numFmtId="3" fontId="6" fillId="0" borderId="15" xfId="0" applyNumberFormat="1" applyFont="1" applyBorder="1"/>
    <xf numFmtId="3" fontId="6" fillId="0" borderId="12" xfId="0" applyNumberFormat="1" applyFont="1" applyBorder="1"/>
    <xf numFmtId="0" fontId="6" fillId="0" borderId="12" xfId="0" quotePrefix="1" applyFont="1" applyBorder="1" applyAlignment="1">
      <alignment horizontal="left"/>
    </xf>
    <xf numFmtId="0" fontId="6" fillId="0" borderId="0" xfId="0" quotePrefix="1" applyFont="1" applyAlignment="1">
      <alignment horizontal="left"/>
    </xf>
    <xf numFmtId="0" fontId="7" fillId="0" borderId="12" xfId="0" quotePrefix="1" applyFont="1" applyBorder="1" applyAlignment="1">
      <alignment horizontal="left"/>
    </xf>
    <xf numFmtId="3" fontId="5" fillId="0" borderId="31" xfId="0" applyNumberFormat="1" applyFont="1" applyFill="1" applyBorder="1"/>
    <xf numFmtId="3" fontId="5" fillId="0" borderId="32" xfId="0" applyNumberFormat="1" applyFont="1" applyFill="1" applyBorder="1"/>
    <xf numFmtId="0" fontId="5" fillId="0" borderId="32" xfId="0" applyFont="1" applyFill="1" applyBorder="1"/>
    <xf numFmtId="3" fontId="5" fillId="0" borderId="33" xfId="0" applyNumberFormat="1" applyFont="1" applyFill="1" applyBorder="1"/>
    <xf numFmtId="0" fontId="6" fillId="0" borderId="34" xfId="0" applyFont="1" applyBorder="1"/>
    <xf numFmtId="0" fontId="6" fillId="0" borderId="35" xfId="0" applyFont="1" applyBorder="1"/>
    <xf numFmtId="0" fontId="7" fillId="0" borderId="36" xfId="0" applyFont="1" applyBorder="1" applyAlignment="1">
      <alignment horizontal="center"/>
    </xf>
    <xf numFmtId="0" fontId="7" fillId="0" borderId="21" xfId="0" applyFont="1" applyBorder="1" applyAlignment="1">
      <alignment horizontal="centerContinuous"/>
    </xf>
    <xf numFmtId="0" fontId="6" fillId="0" borderId="11" xfId="0" applyFont="1" applyBorder="1" applyAlignment="1">
      <alignment horizontal="left"/>
    </xf>
    <xf numFmtId="0" fontId="6" fillId="0" borderId="37" xfId="0" applyFont="1" applyBorder="1"/>
    <xf numFmtId="0" fontId="5" fillId="0" borderId="30" xfId="0" applyFont="1" applyBorder="1"/>
    <xf numFmtId="0" fontId="5" fillId="0" borderId="14" xfId="0" applyFont="1" applyBorder="1"/>
    <xf numFmtId="167" fontId="5" fillId="0" borderId="17" xfId="0" applyNumberFormat="1" applyFont="1" applyBorder="1"/>
    <xf numFmtId="3" fontId="5" fillId="0" borderId="35" xfId="0" applyNumberFormat="1" applyFont="1" applyBorder="1"/>
    <xf numFmtId="0" fontId="5" fillId="0" borderId="17" xfId="0" applyFont="1" applyBorder="1"/>
    <xf numFmtId="0" fontId="5" fillId="0" borderId="18" xfId="0" applyFont="1" applyBorder="1"/>
    <xf numFmtId="3" fontId="5" fillId="0" borderId="34" xfId="0" applyNumberFormat="1" applyFont="1" applyBorder="1"/>
    <xf numFmtId="3" fontId="5" fillId="0" borderId="34" xfId="0" applyNumberFormat="1" applyFont="1" applyFill="1" applyBorder="1"/>
    <xf numFmtId="0" fontId="5" fillId="0" borderId="34" xfId="0" applyFont="1" applyFill="1" applyBorder="1"/>
    <xf numFmtId="3" fontId="5" fillId="0" borderId="35" xfId="0" applyNumberFormat="1" applyFont="1" applyFill="1" applyBorder="1"/>
    <xf numFmtId="0" fontId="5" fillId="0" borderId="38" xfId="0" applyFont="1" applyBorder="1"/>
    <xf numFmtId="3" fontId="5" fillId="0" borderId="33" xfId="0" applyNumberFormat="1" applyFont="1" applyBorder="1"/>
    <xf numFmtId="164" fontId="5" fillId="0" borderId="31" xfId="2" applyNumberFormat="1" applyFont="1" applyFill="1" applyBorder="1"/>
    <xf numFmtId="0" fontId="12" fillId="0" borderId="12" xfId="0" applyFont="1" applyBorder="1" applyAlignment="1">
      <alignment horizontal="right"/>
    </xf>
    <xf numFmtId="0" fontId="12" fillId="0" borderId="0" xfId="0" applyFont="1" applyBorder="1" applyAlignment="1">
      <alignment horizontal="right"/>
    </xf>
    <xf numFmtId="164" fontId="5" fillId="0" borderId="32" xfId="2" applyNumberFormat="1" applyFont="1" applyFill="1" applyBorder="1"/>
    <xf numFmtId="0" fontId="5" fillId="0" borderId="12" xfId="0" applyFont="1" applyBorder="1" applyAlignment="1">
      <alignment horizontal="right"/>
    </xf>
    <xf numFmtId="164" fontId="5" fillId="0" borderId="35" xfId="2" applyNumberFormat="1" applyFont="1" applyBorder="1"/>
    <xf numFmtId="0" fontId="6" fillId="0" borderId="0" xfId="0" applyFont="1" applyProtection="1">
      <protection locked="0"/>
    </xf>
    <xf numFmtId="0" fontId="6" fillId="0" borderId="0" xfId="0" applyFont="1" applyProtection="1">
      <protection hidden="1"/>
    </xf>
    <xf numFmtId="0" fontId="7" fillId="0" borderId="12" xfId="0" applyFont="1" applyBorder="1" applyAlignment="1" applyProtection="1">
      <alignment horizontal="center"/>
      <protection locked="0"/>
    </xf>
    <xf numFmtId="0" fontId="5" fillId="3" borderId="12" xfId="0" applyFont="1" applyFill="1" applyBorder="1" applyProtection="1">
      <protection locked="0"/>
    </xf>
    <xf numFmtId="0" fontId="7" fillId="3" borderId="12" xfId="0" applyFont="1" applyFill="1" applyBorder="1" applyAlignment="1" applyProtection="1">
      <alignment horizontal="center"/>
      <protection locked="0"/>
    </xf>
    <xf numFmtId="0" fontId="6" fillId="3" borderId="8" xfId="0" applyFont="1" applyFill="1" applyBorder="1" applyProtection="1">
      <protection locked="0"/>
    </xf>
    <xf numFmtId="0" fontId="6" fillId="3" borderId="0" xfId="0" applyFont="1" applyFill="1" applyProtection="1">
      <protection locked="0"/>
    </xf>
    <xf numFmtId="0" fontId="5" fillId="3" borderId="0" xfId="0" applyFont="1" applyFill="1" applyProtection="1">
      <protection locked="0"/>
    </xf>
    <xf numFmtId="3" fontId="5" fillId="3" borderId="32" xfId="0" applyNumberFormat="1" applyFont="1" applyFill="1" applyBorder="1" applyProtection="1">
      <protection locked="0"/>
    </xf>
    <xf numFmtId="0" fontId="7" fillId="3" borderId="0" xfId="0" applyFont="1" applyFill="1" applyProtection="1">
      <protection locked="0"/>
    </xf>
    <xf numFmtId="0" fontId="5" fillId="3" borderId="32" xfId="0" applyFont="1" applyFill="1" applyBorder="1" applyProtection="1">
      <protection locked="0"/>
    </xf>
    <xf numFmtId="5" fontId="7" fillId="3" borderId="18" xfId="0" applyNumberFormat="1" applyFont="1" applyFill="1" applyBorder="1" applyProtection="1">
      <protection locked="0"/>
    </xf>
    <xf numFmtId="0" fontId="6" fillId="3" borderId="12" xfId="0" applyFont="1" applyFill="1" applyBorder="1" applyProtection="1">
      <protection locked="0"/>
    </xf>
    <xf numFmtId="164" fontId="5" fillId="3" borderId="31" xfId="2" applyNumberFormat="1" applyFont="1" applyFill="1" applyBorder="1" applyProtection="1">
      <protection locked="0"/>
    </xf>
    <xf numFmtId="0" fontId="6" fillId="3" borderId="3" xfId="0" applyFont="1" applyFill="1" applyBorder="1"/>
    <xf numFmtId="0" fontId="6" fillId="3" borderId="21" xfId="0" applyFont="1" applyFill="1" applyBorder="1" applyProtection="1">
      <protection locked="0"/>
    </xf>
    <xf numFmtId="0" fontId="5" fillId="3" borderId="0" xfId="0" applyFont="1" applyFill="1" applyBorder="1" applyProtection="1">
      <protection locked="0"/>
    </xf>
    <xf numFmtId="0" fontId="7" fillId="3" borderId="12" xfId="0" applyFont="1" applyFill="1" applyBorder="1" applyProtection="1">
      <protection locked="0"/>
    </xf>
    <xf numFmtId="0" fontId="5" fillId="0" borderId="39" xfId="0" applyFont="1" applyBorder="1"/>
    <xf numFmtId="0" fontId="5" fillId="0" borderId="12" xfId="0" applyFont="1" applyBorder="1" applyAlignment="1">
      <alignment horizontal="left"/>
    </xf>
    <xf numFmtId="0" fontId="5" fillId="3" borderId="12" xfId="0" applyFont="1" applyFill="1" applyBorder="1" applyAlignment="1" applyProtection="1">
      <alignment horizontal="left"/>
      <protection locked="0"/>
    </xf>
    <xf numFmtId="0" fontId="6" fillId="0" borderId="39" xfId="0" applyFont="1" applyBorder="1"/>
    <xf numFmtId="3" fontId="5" fillId="0" borderId="12" xfId="0" applyNumberFormat="1" applyFont="1" applyBorder="1"/>
    <xf numFmtId="3" fontId="5" fillId="0" borderId="17" xfId="0" applyNumberFormat="1" applyFont="1" applyBorder="1"/>
    <xf numFmtId="0" fontId="6" fillId="0" borderId="40" xfId="0" applyFont="1" applyBorder="1"/>
    <xf numFmtId="3" fontId="5" fillId="0" borderId="21" xfId="0" applyNumberFormat="1" applyFont="1" applyBorder="1"/>
    <xf numFmtId="0" fontId="6" fillId="0" borderId="0" xfId="0" applyFont="1" applyBorder="1" applyAlignment="1"/>
    <xf numFmtId="0" fontId="5" fillId="0" borderId="0" xfId="0" applyFont="1" applyBorder="1" applyAlignment="1"/>
    <xf numFmtId="0" fontId="6" fillId="0" borderId="0" xfId="0" applyFont="1" applyAlignment="1"/>
    <xf numFmtId="10" fontId="13" fillId="4" borderId="0" xfId="9" applyFont="1" applyFill="1" applyAlignment="1" applyProtection="1">
      <alignment horizontal="center" vertical="center"/>
      <protection locked="0"/>
    </xf>
    <xf numFmtId="0" fontId="20" fillId="0" borderId="12" xfId="8" applyFont="1" applyBorder="1" applyAlignment="1" applyProtection="1"/>
    <xf numFmtId="0" fontId="24" fillId="5" borderId="0" xfId="11" applyFont="1" applyFill="1"/>
    <xf numFmtId="0" fontId="23" fillId="5" borderId="0" xfId="11" applyFont="1" applyFill="1"/>
    <xf numFmtId="0" fontId="23" fillId="5" borderId="0" xfId="11" applyFont="1" applyFill="1" applyAlignment="1">
      <alignment wrapText="1"/>
    </xf>
    <xf numFmtId="0" fontId="23" fillId="0" borderId="0" xfId="11"/>
    <xf numFmtId="0" fontId="9" fillId="0" borderId="0" xfId="0" applyFont="1" applyBorder="1"/>
    <xf numFmtId="166" fontId="9" fillId="0" borderId="0" xfId="0" applyNumberFormat="1" applyFont="1" applyBorder="1"/>
    <xf numFmtId="0" fontId="9" fillId="0" borderId="8" xfId="0" applyFont="1" applyBorder="1"/>
    <xf numFmtId="2" fontId="5" fillId="3" borderId="9" xfId="0" applyNumberFormat="1" applyFont="1" applyFill="1" applyBorder="1" applyAlignment="1" applyProtection="1">
      <protection locked="0"/>
    </xf>
    <xf numFmtId="2" fontId="5" fillId="3" borderId="9" xfId="0" applyNumberFormat="1" applyFont="1" applyFill="1" applyBorder="1" applyProtection="1">
      <protection locked="0"/>
    </xf>
    <xf numFmtId="2" fontId="5" fillId="0" borderId="9" xfId="0" applyNumberFormat="1" applyFont="1" applyBorder="1"/>
    <xf numFmtId="2" fontId="5" fillId="2" borderId="9" xfId="0" applyNumberFormat="1" applyFont="1" applyFill="1" applyBorder="1"/>
    <xf numFmtId="2" fontId="7" fillId="3" borderId="41" xfId="0" applyNumberFormat="1" applyFont="1" applyFill="1" applyBorder="1" applyProtection="1">
      <protection locked="0"/>
    </xf>
    <xf numFmtId="2" fontId="7" fillId="3" borderId="12" xfId="0" applyNumberFormat="1" applyFont="1" applyFill="1" applyBorder="1" applyProtection="1">
      <protection locked="0"/>
    </xf>
    <xf numFmtId="2" fontId="7" fillId="3" borderId="42" xfId="0" applyNumberFormat="1" applyFont="1" applyFill="1" applyBorder="1" applyProtection="1">
      <protection locked="0"/>
    </xf>
    <xf numFmtId="4" fontId="5" fillId="0" borderId="9" xfId="0" applyNumberFormat="1" applyFont="1" applyBorder="1"/>
    <xf numFmtId="4" fontId="5" fillId="2" borderId="9" xfId="0" applyNumberFormat="1" applyFont="1" applyFill="1" applyBorder="1"/>
    <xf numFmtId="164" fontId="5" fillId="0" borderId="31" xfId="2" applyNumberFormat="1" applyFont="1" applyFill="1" applyBorder="1" applyProtection="1"/>
    <xf numFmtId="164" fontId="5" fillId="0" borderId="35" xfId="2" applyNumberFormat="1" applyFont="1" applyFill="1" applyBorder="1" applyProtection="1"/>
    <xf numFmtId="0" fontId="46" fillId="0" borderId="0" xfId="60" applyFont="1" applyAlignment="1" applyProtection="1">
      <alignment horizontal="center"/>
    </xf>
    <xf numFmtId="49" fontId="46" fillId="0" borderId="0" xfId="60" applyNumberFormat="1" applyFont="1" applyAlignment="1" applyProtection="1">
      <alignment horizontal="center"/>
    </xf>
    <xf numFmtId="0" fontId="2" fillId="0" borderId="0" xfId="60" applyProtection="1"/>
    <xf numFmtId="49" fontId="2" fillId="0" borderId="0" xfId="60" applyNumberFormat="1" applyAlignment="1" applyProtection="1">
      <alignment horizontal="center"/>
    </xf>
    <xf numFmtId="37" fontId="2" fillId="0" borderId="0" xfId="60" applyNumberFormat="1" applyProtection="1"/>
    <xf numFmtId="49" fontId="2" fillId="40" borderId="0" xfId="60" applyNumberFormat="1" applyFill="1" applyAlignment="1" applyProtection="1">
      <alignment horizontal="center"/>
    </xf>
    <xf numFmtId="0" fontId="2" fillId="0" borderId="0" xfId="60" applyAlignment="1" applyProtection="1">
      <alignment horizontal="left" indent="1"/>
    </xf>
    <xf numFmtId="37" fontId="2" fillId="0" borderId="53" xfId="60" applyNumberFormat="1" applyBorder="1" applyProtection="1"/>
    <xf numFmtId="37" fontId="2" fillId="0" borderId="0" xfId="60" applyNumberFormat="1" applyFill="1" applyBorder="1" applyProtection="1"/>
    <xf numFmtId="37" fontId="2" fillId="0" borderId="57" xfId="60" applyNumberFormat="1" applyBorder="1" applyProtection="1"/>
    <xf numFmtId="0" fontId="2" fillId="0" borderId="0" xfId="60" applyAlignment="1" applyProtection="1">
      <alignment horizontal="right"/>
      <protection locked="0"/>
    </xf>
    <xf numFmtId="0" fontId="2" fillId="0" borderId="0" xfId="60" applyAlignment="1" applyProtection="1">
      <alignment horizontal="center"/>
      <protection locked="0"/>
    </xf>
    <xf numFmtId="0" fontId="2" fillId="0" borderId="0" xfId="60" applyProtection="1">
      <protection locked="0"/>
    </xf>
    <xf numFmtId="0" fontId="0" fillId="0" borderId="0" xfId="0" applyProtection="1">
      <protection locked="0"/>
    </xf>
    <xf numFmtId="14" fontId="2" fillId="0" borderId="0" xfId="60" applyNumberFormat="1" applyProtection="1">
      <protection locked="0"/>
    </xf>
    <xf numFmtId="0" fontId="2" fillId="0" borderId="0" xfId="60" applyFont="1" applyAlignment="1" applyProtection="1">
      <alignment horizontal="right"/>
      <protection locked="0"/>
    </xf>
    <xf numFmtId="0" fontId="1" fillId="8" borderId="0" xfId="60" applyFont="1" applyFill="1" applyProtection="1">
      <protection locked="0"/>
    </xf>
    <xf numFmtId="165" fontId="7" fillId="0" borderId="10" xfId="0" applyNumberFormat="1" applyFont="1" applyBorder="1"/>
    <xf numFmtId="165" fontId="7" fillId="2" borderId="10" xfId="0" applyNumberFormat="1" applyFont="1" applyFill="1" applyBorder="1"/>
    <xf numFmtId="165" fontId="7" fillId="2" borderId="16" xfId="0" applyNumberFormat="1" applyFont="1" applyFill="1" applyBorder="1"/>
    <xf numFmtId="0" fontId="24" fillId="5" borderId="0" xfId="0" applyFont="1" applyFill="1" applyAlignment="1">
      <alignment vertical="top"/>
    </xf>
    <xf numFmtId="0" fontId="24" fillId="5" borderId="0" xfId="0" applyFont="1" applyFill="1"/>
    <xf numFmtId="0" fontId="0" fillId="5" borderId="0" xfId="0" applyFill="1" applyAlignment="1">
      <alignment horizontal="left"/>
    </xf>
    <xf numFmtId="0" fontId="24" fillId="4" borderId="0" xfId="0" applyNumberFormat="1" applyFont="1" applyFill="1" applyAlignment="1" applyProtection="1">
      <alignment horizontal="left"/>
      <protection locked="0"/>
    </xf>
    <xf numFmtId="168" fontId="24" fillId="5" borderId="0" xfId="0" applyNumberFormat="1" applyFont="1" applyFill="1"/>
    <xf numFmtId="0" fontId="24" fillId="6" borderId="0" xfId="0" applyFont="1" applyFill="1" applyBorder="1" applyAlignment="1" applyProtection="1">
      <alignment horizontal="left"/>
    </xf>
    <xf numFmtId="0" fontId="24" fillId="6" borderId="0" xfId="0" applyFont="1" applyFill="1" applyAlignment="1" applyProtection="1">
      <alignment horizontal="left"/>
    </xf>
    <xf numFmtId="0" fontId="24" fillId="6" borderId="0" xfId="0" applyFont="1" applyFill="1" applyProtection="1"/>
    <xf numFmtId="0" fontId="23" fillId="5" borderId="0" xfId="0" applyFont="1" applyFill="1" applyAlignment="1">
      <alignment textRotation="90" wrapText="1"/>
    </xf>
    <xf numFmtId="0" fontId="23" fillId="5" borderId="0" xfId="0" applyFont="1" applyFill="1"/>
    <xf numFmtId="0" fontId="23" fillId="5" borderId="0" xfId="0" applyFont="1" applyFill="1" applyBorder="1" applyAlignment="1" applyProtection="1">
      <alignment horizontal="center" vertical="center"/>
    </xf>
    <xf numFmtId="0" fontId="23" fillId="5" borderId="0" xfId="0" applyFont="1" applyFill="1" applyBorder="1" applyAlignment="1" applyProtection="1">
      <alignment horizontal="center" vertical="center" wrapText="1"/>
    </xf>
    <xf numFmtId="0" fontId="23" fillId="5" borderId="0" xfId="0" applyFont="1" applyFill="1" applyAlignment="1" applyProtection="1">
      <alignment horizontal="right"/>
    </xf>
    <xf numFmtId="0" fontId="23" fillId="5" borderId="0" xfId="0" applyFont="1" applyFill="1" applyProtection="1"/>
    <xf numFmtId="0" fontId="23" fillId="6" borderId="0" xfId="0" applyFont="1" applyFill="1" applyAlignment="1">
      <alignment horizontal="left"/>
    </xf>
    <xf numFmtId="0" fontId="23" fillId="6" borderId="0" xfId="0" applyFont="1" applyFill="1"/>
    <xf numFmtId="0" fontId="23" fillId="0" borderId="42" xfId="0" applyFont="1" applyBorder="1" applyAlignment="1" applyProtection="1">
      <alignment horizontal="center" vertical="center" wrapText="1"/>
      <protection locked="0"/>
    </xf>
    <xf numFmtId="0" fontId="23" fillId="5" borderId="0" xfId="0" applyFont="1" applyFill="1" applyAlignment="1">
      <alignment horizontal="right"/>
    </xf>
    <xf numFmtId="0" fontId="23" fillId="4" borderId="0" xfId="0" applyFont="1" applyFill="1" applyAlignment="1" applyProtection="1">
      <alignment horizontal="right"/>
      <protection locked="0"/>
    </xf>
    <xf numFmtId="0" fontId="23" fillId="5" borderId="0" xfId="0" applyFont="1" applyFill="1" applyAlignment="1">
      <alignment horizontal="center" vertical="center" textRotation="15"/>
    </xf>
    <xf numFmtId="0" fontId="23" fillId="5" borderId="0" xfId="0" applyFont="1" applyFill="1" applyAlignment="1">
      <alignment horizontal="center" vertical="center"/>
    </xf>
    <xf numFmtId="0" fontId="23" fillId="4" borderId="42" xfId="0" applyFont="1" applyFill="1" applyBorder="1" applyAlignment="1" applyProtection="1">
      <alignment horizontal="center" vertical="center" wrapText="1"/>
      <protection locked="0"/>
    </xf>
    <xf numFmtId="0" fontId="23" fillId="6" borderId="0" xfId="0" applyFont="1" applyFill="1" applyAlignment="1">
      <alignment horizontal="right"/>
    </xf>
    <xf numFmtId="0" fontId="23" fillId="4" borderId="41" xfId="0" applyFont="1" applyFill="1" applyBorder="1" applyAlignment="1" applyProtection="1">
      <alignment horizontal="center" vertical="center" wrapText="1"/>
      <protection locked="0"/>
    </xf>
    <xf numFmtId="0" fontId="23" fillId="0" borderId="41" xfId="0" applyFont="1" applyBorder="1" applyAlignment="1" applyProtection="1">
      <alignment horizontal="center" vertical="center" wrapText="1"/>
      <protection locked="0"/>
    </xf>
    <xf numFmtId="168" fontId="24" fillId="5" borderId="0" xfId="0" applyNumberFormat="1" applyFont="1" applyFill="1" applyProtection="1"/>
    <xf numFmtId="0" fontId="24" fillId="5" borderId="0" xfId="0" applyFont="1" applyFill="1" applyProtection="1"/>
    <xf numFmtId="0" fontId="23" fillId="6" borderId="0" xfId="0" applyFont="1" applyFill="1" applyAlignment="1" applyProtection="1">
      <alignment horizontal="left"/>
    </xf>
    <xf numFmtId="0" fontId="23" fillId="6" borderId="0" xfId="0" applyFont="1" applyFill="1" applyProtection="1"/>
    <xf numFmtId="0" fontId="23" fillId="5" borderId="0" xfId="0" applyFont="1" applyFill="1" applyAlignment="1" applyProtection="1">
      <alignment horizontal="center" vertical="center" textRotation="15"/>
    </xf>
    <xf numFmtId="0" fontId="23" fillId="5" borderId="0" xfId="0" applyFont="1" applyFill="1" applyAlignment="1" applyProtection="1">
      <alignment horizontal="center" vertical="center"/>
    </xf>
    <xf numFmtId="0" fontId="23" fillId="6" borderId="0" xfId="0" applyFont="1" applyFill="1" applyAlignment="1" applyProtection="1">
      <alignment horizontal="center" vertical="center"/>
    </xf>
    <xf numFmtId="0" fontId="24" fillId="6" borderId="0" xfId="0" applyFont="1" applyFill="1" applyAlignment="1">
      <alignment horizontal="left"/>
    </xf>
    <xf numFmtId="0" fontId="24" fillId="6" borderId="0" xfId="0" applyFont="1" applyFill="1"/>
    <xf numFmtId="0" fontId="24" fillId="5" borderId="0" xfId="70" applyFont="1" applyFill="1"/>
    <xf numFmtId="168" fontId="24" fillId="5" borderId="0" xfId="70" applyNumberFormat="1" applyFont="1" applyFill="1"/>
    <xf numFmtId="0" fontId="23" fillId="5" borderId="0" xfId="0" applyFont="1" applyFill="1" applyAlignment="1">
      <alignment horizontal="left"/>
    </xf>
    <xf numFmtId="0" fontId="0" fillId="5" borderId="0" xfId="0" applyFill="1"/>
    <xf numFmtId="0" fontId="24" fillId="5" borderId="0" xfId="70" applyFont="1" applyFill="1" applyAlignment="1">
      <alignment horizontal="right"/>
    </xf>
    <xf numFmtId="0" fontId="23" fillId="5" borderId="0" xfId="70" applyFont="1" applyFill="1" applyAlignment="1">
      <alignment horizontal="right"/>
    </xf>
    <xf numFmtId="3" fontId="23" fillId="5" borderId="0" xfId="70" applyNumberFormat="1" applyFont="1" applyFill="1"/>
    <xf numFmtId="0" fontId="23" fillId="5" borderId="0" xfId="70" applyFont="1" applyFill="1"/>
    <xf numFmtId="0" fontId="23" fillId="5" borderId="0" xfId="70" applyFill="1"/>
    <xf numFmtId="3" fontId="23" fillId="5" borderId="0" xfId="72" applyNumberFormat="1" applyFont="1" applyFill="1"/>
    <xf numFmtId="0" fontId="23" fillId="43" borderId="0" xfId="70" applyFont="1" applyFill="1"/>
    <xf numFmtId="3" fontId="23" fillId="43" borderId="0" xfId="72" applyNumberFormat="1" applyFont="1" applyFill="1"/>
    <xf numFmtId="0" fontId="23" fillId="43" borderId="0" xfId="70" applyFill="1"/>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23" fillId="4" borderId="41" xfId="0" applyFont="1" applyFill="1" applyBorder="1" applyAlignment="1" applyProtection="1">
      <alignment horizontal="center" vertical="center"/>
      <protection locked="0"/>
    </xf>
    <xf numFmtId="0" fontId="25" fillId="5" borderId="0" xfId="0" applyFont="1" applyFill="1"/>
    <xf numFmtId="0" fontId="25" fillId="5" borderId="0" xfId="0" applyFont="1" applyFill="1" applyAlignment="1">
      <alignment horizontal="right"/>
    </xf>
    <xf numFmtId="0" fontId="26" fillId="5" borderId="0" xfId="0" applyFont="1" applyFill="1"/>
    <xf numFmtId="0" fontId="26" fillId="5" borderId="0" xfId="0" applyFont="1" applyFill="1" applyAlignment="1">
      <alignment horizontal="right"/>
    </xf>
    <xf numFmtId="0" fontId="23" fillId="5" borderId="0" xfId="0" applyFont="1" applyFill="1" applyAlignment="1">
      <alignment wrapText="1"/>
    </xf>
    <xf numFmtId="0" fontId="24" fillId="5" borderId="0" xfId="0" applyFont="1" applyFill="1" applyAlignment="1"/>
    <xf numFmtId="0" fontId="24" fillId="5" borderId="0" xfId="0" applyFont="1" applyFill="1" applyAlignment="1">
      <alignment horizontal="right"/>
    </xf>
    <xf numFmtId="0" fontId="25" fillId="5" borderId="0" xfId="0" applyFont="1" applyFill="1" applyAlignment="1">
      <alignment horizontal="left"/>
    </xf>
    <xf numFmtId="0" fontId="23" fillId="5" borderId="0" xfId="0" applyFont="1" applyFill="1" applyAlignment="1">
      <alignment horizontal="center"/>
    </xf>
    <xf numFmtId="0" fontId="0" fillId="5" borderId="0" xfId="0" applyFill="1" applyAlignment="1"/>
    <xf numFmtId="0" fontId="24" fillId="43" borderId="0" xfId="70" applyFont="1" applyFill="1"/>
    <xf numFmtId="0" fontId="0" fillId="43" borderId="0" xfId="0" applyFill="1"/>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47" fillId="0" borderId="0" xfId="0" applyFont="1"/>
    <xf numFmtId="0" fontId="47" fillId="0" borderId="0" xfId="0" applyFont="1" applyBorder="1"/>
    <xf numFmtId="166" fontId="47" fillId="0" borderId="0" xfId="0" applyNumberFormat="1" applyFont="1" applyFill="1" applyProtection="1">
      <protection locked="0"/>
    </xf>
    <xf numFmtId="166" fontId="47" fillId="0" borderId="0" xfId="0" applyNumberFormat="1" applyFont="1" applyBorder="1" applyProtection="1">
      <protection locked="0"/>
    </xf>
    <xf numFmtId="3" fontId="5" fillId="3" borderId="9" xfId="0" applyNumberFormat="1" applyFont="1" applyFill="1" applyBorder="1" applyProtection="1">
      <protection locked="0"/>
    </xf>
    <xf numFmtId="3" fontId="5" fillId="0" borderId="9" xfId="0" applyNumberFormat="1" applyFont="1" applyBorder="1"/>
    <xf numFmtId="3" fontId="5" fillId="2" borderId="9" xfId="0" applyNumberFormat="1" applyFont="1" applyFill="1" applyBorder="1"/>
    <xf numFmtId="3" fontId="5" fillId="2" borderId="5" xfId="0" applyNumberFormat="1" applyFont="1" applyFill="1" applyBorder="1"/>
    <xf numFmtId="3" fontId="5" fillId="2" borderId="0" xfId="0" applyNumberFormat="1" applyFont="1" applyFill="1" applyBorder="1"/>
    <xf numFmtId="3" fontId="5" fillId="0" borderId="19" xfId="0" applyNumberFormat="1" applyFont="1" applyBorder="1"/>
    <xf numFmtId="0" fontId="24" fillId="5" borderId="0" xfId="70" applyFont="1" applyFill="1" applyAlignment="1">
      <alignment horizontal="center"/>
    </xf>
    <xf numFmtId="0" fontId="24" fillId="5" borderId="0" xfId="0" applyFont="1" applyFill="1" applyAlignment="1">
      <alignment wrapText="1"/>
    </xf>
    <xf numFmtId="0" fontId="24" fillId="5" borderId="0" xfId="0" applyFont="1" applyFill="1" applyAlignment="1">
      <alignment horizontal="left"/>
    </xf>
    <xf numFmtId="0" fontId="23" fillId="4" borderId="42" xfId="0" applyFont="1" applyFill="1" applyBorder="1" applyAlignment="1" applyProtection="1">
      <alignment horizontal="center" vertical="center"/>
      <protection locked="0"/>
    </xf>
    <xf numFmtId="0" fontId="23" fillId="0" borderId="0" xfId="70"/>
    <xf numFmtId="0" fontId="26" fillId="0" borderId="0" xfId="70" applyFont="1"/>
    <xf numFmtId="0" fontId="23" fillId="0" borderId="0" xfId="70" applyFont="1"/>
    <xf numFmtId="0" fontId="23" fillId="0" borderId="6" xfId="70" applyFont="1" applyBorder="1"/>
    <xf numFmtId="0" fontId="23" fillId="0" borderId="3" xfId="70" applyBorder="1"/>
    <xf numFmtId="0" fontId="26" fillId="0" borderId="58" xfId="70" applyFont="1" applyBorder="1" applyAlignment="1">
      <alignment horizontal="center"/>
    </xf>
    <xf numFmtId="0" fontId="26" fillId="0" borderId="0" xfId="70" applyFont="1" applyAlignment="1">
      <alignment horizontal="left"/>
    </xf>
    <xf numFmtId="0" fontId="23" fillId="0" borderId="13" xfId="70" applyFont="1" applyFill="1" applyBorder="1"/>
    <xf numFmtId="0" fontId="23" fillId="0" borderId="30" xfId="70" applyFill="1" applyBorder="1"/>
    <xf numFmtId="43" fontId="26" fillId="43" borderId="59" xfId="70" applyNumberFormat="1" applyFont="1" applyFill="1" applyBorder="1" applyAlignment="1">
      <alignment horizontal="center"/>
    </xf>
    <xf numFmtId="0" fontId="26" fillId="0" borderId="0" xfId="70" applyFont="1" applyAlignment="1">
      <alignment vertical="center"/>
    </xf>
    <xf numFmtId="0" fontId="26" fillId="8" borderId="0" xfId="70" applyFont="1" applyFill="1" applyAlignment="1">
      <alignment horizontal="center"/>
    </xf>
    <xf numFmtId="0" fontId="23" fillId="0" borderId="0" xfId="70" applyFont="1" applyAlignment="1">
      <alignment horizontal="center"/>
    </xf>
    <xf numFmtId="0" fontId="26" fillId="8" borderId="0" xfId="70" applyFont="1" applyFill="1" applyAlignment="1">
      <alignment horizontal="left"/>
    </xf>
    <xf numFmtId="0" fontId="23" fillId="0" borderId="0" xfId="70" applyAlignment="1">
      <alignment horizontal="center"/>
    </xf>
    <xf numFmtId="0" fontId="26" fillId="40" borderId="0" xfId="70" applyFont="1" applyFill="1" applyAlignment="1" applyProtection="1">
      <alignment horizontal="left" wrapText="1"/>
      <protection hidden="1"/>
    </xf>
    <xf numFmtId="0" fontId="23" fillId="0" borderId="0" xfId="70" applyFill="1"/>
    <xf numFmtId="0" fontId="23" fillId="44" borderId="18" xfId="70" applyFont="1" applyFill="1" applyBorder="1" applyAlignment="1" applyProtection="1">
      <alignment horizontal="center"/>
      <protection hidden="1"/>
    </xf>
    <xf numFmtId="0" fontId="26" fillId="8" borderId="58" xfId="70" applyFont="1" applyFill="1" applyBorder="1" applyAlignment="1">
      <alignment horizontal="center"/>
    </xf>
    <xf numFmtId="0" fontId="26" fillId="44" borderId="28" xfId="70" applyFont="1" applyFill="1" applyBorder="1" applyProtection="1">
      <protection hidden="1"/>
    </xf>
    <xf numFmtId="0" fontId="26" fillId="44" borderId="18" xfId="70" applyFont="1" applyFill="1" applyBorder="1" applyProtection="1">
      <protection hidden="1"/>
    </xf>
    <xf numFmtId="0" fontId="26" fillId="44" borderId="18" xfId="70" applyFont="1" applyFill="1" applyBorder="1" applyAlignment="1" applyProtection="1">
      <alignment horizontal="center"/>
      <protection hidden="1"/>
    </xf>
    <xf numFmtId="0" fontId="26" fillId="40" borderId="18" xfId="70" applyFont="1" applyFill="1" applyBorder="1" applyAlignment="1" applyProtection="1">
      <alignment horizontal="center"/>
      <protection hidden="1"/>
    </xf>
    <xf numFmtId="0" fontId="23" fillId="40" borderId="18" xfId="70" applyFill="1" applyBorder="1" applyAlignment="1" applyProtection="1">
      <alignment horizontal="center"/>
      <protection hidden="1"/>
    </xf>
    <xf numFmtId="0" fontId="26" fillId="8" borderId="60" xfId="70" applyFont="1" applyFill="1" applyBorder="1"/>
    <xf numFmtId="14" fontId="23" fillId="0" borderId="60" xfId="70" applyNumberFormat="1" applyBorder="1" applyProtection="1">
      <protection locked="0"/>
    </xf>
    <xf numFmtId="0" fontId="23" fillId="40" borderId="0" xfId="70" quotePrefix="1" applyFont="1" applyFill="1" applyBorder="1" applyAlignment="1">
      <alignment horizontal="center"/>
    </xf>
    <xf numFmtId="43" fontId="0" fillId="0" borderId="42" xfId="66" applyFont="1" applyBorder="1" applyAlignment="1" applyProtection="1">
      <alignment horizontal="center"/>
      <protection locked="0"/>
    </xf>
    <xf numFmtId="43" fontId="0" fillId="44" borderId="0" xfId="66" applyFont="1" applyFill="1" applyBorder="1" applyAlignment="1" applyProtection="1">
      <alignment horizontal="center"/>
      <protection hidden="1"/>
    </xf>
    <xf numFmtId="0" fontId="23" fillId="44" borderId="0" xfId="70" applyFill="1" applyBorder="1" applyAlignment="1" applyProtection="1">
      <alignment horizontal="center"/>
      <protection hidden="1"/>
    </xf>
    <xf numFmtId="9" fontId="23" fillId="44" borderId="0" xfId="20" quotePrefix="1" applyFont="1" applyFill="1" applyBorder="1" applyProtection="1">
      <protection hidden="1"/>
    </xf>
    <xf numFmtId="43" fontId="23" fillId="44" borderId="0" xfId="70" applyNumberFormat="1" applyFill="1" applyBorder="1" applyProtection="1">
      <protection hidden="1"/>
    </xf>
    <xf numFmtId="43" fontId="0" fillId="44" borderId="0" xfId="66" applyFont="1" applyFill="1" applyBorder="1" applyProtection="1">
      <protection hidden="1"/>
    </xf>
    <xf numFmtId="14" fontId="23" fillId="40" borderId="0" xfId="70" applyNumberFormat="1" applyFill="1" applyBorder="1" applyAlignment="1" applyProtection="1">
      <alignment horizontal="center"/>
      <protection hidden="1"/>
    </xf>
    <xf numFmtId="14" fontId="23" fillId="40" borderId="0" xfId="70" applyNumberFormat="1" applyFill="1" applyAlignment="1" applyProtection="1">
      <alignment horizontal="center"/>
      <protection hidden="1"/>
    </xf>
    <xf numFmtId="9" fontId="0" fillId="40" borderId="0" xfId="20" applyFont="1" applyFill="1" applyAlignment="1" applyProtection="1">
      <alignment horizontal="center"/>
      <protection hidden="1"/>
    </xf>
    <xf numFmtId="0" fontId="26" fillId="8" borderId="59" xfId="70" applyFont="1" applyFill="1" applyBorder="1"/>
    <xf numFmtId="0" fontId="23" fillId="0" borderId="0" xfId="70" quotePrefix="1" applyFill="1"/>
    <xf numFmtId="0" fontId="23" fillId="44" borderId="0" xfId="70" applyFill="1" applyBorder="1" applyAlignment="1">
      <alignment horizontal="center"/>
    </xf>
    <xf numFmtId="0" fontId="23" fillId="44" borderId="0" xfId="70" applyFill="1" applyBorder="1" applyProtection="1">
      <protection hidden="1"/>
    </xf>
    <xf numFmtId="0" fontId="23" fillId="0" borderId="0" xfId="70" quotePrefix="1" applyFont="1" applyFill="1"/>
    <xf numFmtId="0" fontId="23" fillId="0" borderId="0" xfId="70" applyAlignment="1" applyProtection="1">
      <alignment horizontal="center"/>
      <protection hidden="1"/>
    </xf>
    <xf numFmtId="0" fontId="23" fillId="0" borderId="18" xfId="70" applyBorder="1"/>
    <xf numFmtId="0" fontId="23" fillId="0" borderId="18" xfId="70" applyBorder="1" applyAlignment="1" applyProtection="1">
      <alignment horizontal="center"/>
      <protection hidden="1"/>
    </xf>
    <xf numFmtId="0" fontId="23" fillId="44" borderId="18" xfId="70" applyFill="1" applyBorder="1" applyAlignment="1">
      <alignment horizontal="center"/>
    </xf>
    <xf numFmtId="0" fontId="23" fillId="44" borderId="18" xfId="70" applyFill="1" applyBorder="1" applyProtection="1">
      <protection hidden="1"/>
    </xf>
    <xf numFmtId="0" fontId="23" fillId="44" borderId="18" xfId="70" applyFill="1" applyBorder="1" applyAlignment="1" applyProtection="1">
      <alignment horizontal="center"/>
      <protection hidden="1"/>
    </xf>
    <xf numFmtId="9" fontId="23" fillId="44" borderId="18" xfId="20" quotePrefix="1" applyFont="1" applyFill="1" applyBorder="1" applyProtection="1">
      <protection hidden="1"/>
    </xf>
    <xf numFmtId="43" fontId="23" fillId="44" borderId="18" xfId="70" applyNumberFormat="1" applyFill="1" applyBorder="1" applyProtection="1">
      <protection hidden="1"/>
    </xf>
    <xf numFmtId="43" fontId="0" fillId="44" borderId="18" xfId="66" applyFont="1" applyFill="1" applyBorder="1" applyProtection="1">
      <protection hidden="1"/>
    </xf>
    <xf numFmtId="0" fontId="26" fillId="40" borderId="0" xfId="70" applyFont="1" applyFill="1" applyAlignment="1">
      <alignment horizontal="right"/>
    </xf>
    <xf numFmtId="0" fontId="23" fillId="40" borderId="0" xfId="70" applyFill="1"/>
    <xf numFmtId="43" fontId="26" fillId="40" borderId="0" xfId="70" applyNumberFormat="1" applyFont="1" applyFill="1" applyAlignment="1">
      <alignment horizontal="center"/>
    </xf>
    <xf numFmtId="0" fontId="23" fillId="40" borderId="0" xfId="70" applyFill="1" applyProtection="1">
      <protection hidden="1"/>
    </xf>
    <xf numFmtId="0" fontId="23" fillId="40" borderId="0" xfId="70" applyFill="1" applyBorder="1" applyAlignment="1" applyProtection="1">
      <alignment horizontal="center"/>
      <protection hidden="1"/>
    </xf>
    <xf numFmtId="0" fontId="23" fillId="40" borderId="0" xfId="70" applyFill="1" applyAlignment="1" applyProtection="1">
      <alignment horizontal="center"/>
      <protection hidden="1"/>
    </xf>
    <xf numFmtId="166" fontId="48" fillId="40" borderId="0" xfId="20" applyNumberFormat="1" applyFont="1" applyFill="1" applyBorder="1" applyProtection="1">
      <protection hidden="1"/>
    </xf>
    <xf numFmtId="43" fontId="26" fillId="40" borderId="0" xfId="70" applyNumberFormat="1" applyFont="1" applyFill="1" applyProtection="1">
      <protection hidden="1"/>
    </xf>
    <xf numFmtId="43" fontId="26" fillId="40" borderId="0" xfId="66" applyFont="1" applyFill="1" applyProtection="1">
      <protection hidden="1"/>
    </xf>
    <xf numFmtId="0" fontId="23" fillId="0" borderId="0" xfId="70" applyProtection="1">
      <protection hidden="1"/>
    </xf>
    <xf numFmtId="0" fontId="23" fillId="0" borderId="0" xfId="70" applyFill="1" applyAlignment="1" applyProtection="1">
      <alignment horizontal="center"/>
      <protection hidden="1"/>
    </xf>
    <xf numFmtId="0" fontId="23" fillId="44" borderId="29" xfId="70" applyFont="1" applyFill="1" applyBorder="1" applyAlignment="1" applyProtection="1">
      <alignment horizontal="center"/>
      <protection hidden="1"/>
    </xf>
    <xf numFmtId="43" fontId="23" fillId="0" borderId="0" xfId="70" applyNumberFormat="1"/>
    <xf numFmtId="0" fontId="23" fillId="0" borderId="0" xfId="70" quotePrefix="1" applyFont="1"/>
    <xf numFmtId="0" fontId="23" fillId="44" borderId="53" xfId="70" applyFill="1" applyBorder="1" applyAlignment="1" applyProtection="1">
      <alignment horizontal="center"/>
      <protection hidden="1"/>
    </xf>
    <xf numFmtId="169" fontId="23" fillId="0" borderId="0" xfId="70" applyNumberFormat="1"/>
    <xf numFmtId="0" fontId="23" fillId="0" borderId="0" xfId="70" quotePrefix="1" applyFont="1" applyFill="1" applyBorder="1" applyAlignment="1">
      <alignment horizontal="center"/>
    </xf>
    <xf numFmtId="43" fontId="0" fillId="0" borderId="0" xfId="66" applyFont="1" applyFill="1" applyBorder="1" applyAlignment="1" applyProtection="1">
      <alignment horizontal="center"/>
      <protection hidden="1"/>
    </xf>
    <xf numFmtId="0" fontId="23" fillId="0" borderId="0" xfId="70" applyFill="1" applyBorder="1" applyAlignment="1" applyProtection="1">
      <alignment horizontal="center"/>
      <protection hidden="1"/>
    </xf>
    <xf numFmtId="9" fontId="23" fillId="0" borderId="0" xfId="20" quotePrefix="1" applyFont="1" applyFill="1" applyBorder="1" applyProtection="1">
      <protection hidden="1"/>
    </xf>
    <xf numFmtId="43" fontId="23" fillId="0" borderId="0" xfId="70" applyNumberFormat="1" applyFill="1" applyBorder="1" applyProtection="1">
      <protection hidden="1"/>
    </xf>
    <xf numFmtId="43" fontId="0" fillId="0" borderId="0" xfId="66" applyFont="1" applyFill="1" applyBorder="1" applyProtection="1">
      <protection hidden="1"/>
    </xf>
    <xf numFmtId="0" fontId="23" fillId="0" borderId="0" xfId="70" applyFill="1" applyBorder="1" applyAlignment="1">
      <alignment horizontal="center"/>
    </xf>
    <xf numFmtId="0" fontId="23" fillId="0" borderId="0" xfId="70" applyFill="1" applyBorder="1" applyProtection="1">
      <protection hidden="1"/>
    </xf>
    <xf numFmtId="166" fontId="48" fillId="0" borderId="0" xfId="20" applyNumberFormat="1" applyFont="1" applyFill="1" applyBorder="1" applyProtection="1">
      <protection hidden="1"/>
    </xf>
    <xf numFmtId="0" fontId="23" fillId="0" borderId="0" xfId="70" applyFill="1" applyBorder="1"/>
    <xf numFmtId="0" fontId="26" fillId="0" borderId="0" xfId="70" applyFont="1" applyFill="1" applyBorder="1" applyAlignment="1">
      <alignment vertical="center"/>
    </xf>
    <xf numFmtId="0" fontId="26" fillId="0" borderId="0" xfId="70" applyFont="1" applyFill="1" applyBorder="1" applyAlignment="1">
      <alignment horizontal="center"/>
    </xf>
    <xf numFmtId="0" fontId="23" fillId="0" borderId="0" xfId="70" applyFont="1" applyFill="1" applyBorder="1" applyAlignment="1">
      <alignment horizontal="center"/>
    </xf>
    <xf numFmtId="0" fontId="26" fillId="0" borderId="0" xfId="70" applyFont="1" applyFill="1" applyBorder="1" applyAlignment="1">
      <alignment horizontal="left"/>
    </xf>
    <xf numFmtId="0" fontId="23" fillId="0" borderId="0" xfId="70" applyFont="1" applyFill="1" applyBorder="1"/>
    <xf numFmtId="0" fontId="23" fillId="0" borderId="0" xfId="70" applyFont="1" applyFill="1" applyBorder="1" applyAlignment="1" applyProtection="1">
      <alignment horizontal="center"/>
      <protection hidden="1"/>
    </xf>
    <xf numFmtId="0" fontId="26" fillId="0" borderId="0" xfId="70" applyFont="1" applyFill="1" applyBorder="1" applyProtection="1">
      <protection hidden="1"/>
    </xf>
    <xf numFmtId="0" fontId="26" fillId="0" borderId="0" xfId="70" applyFont="1" applyFill="1" applyBorder="1" applyAlignment="1" applyProtection="1">
      <alignment horizontal="center"/>
      <protection hidden="1"/>
    </xf>
    <xf numFmtId="0" fontId="26" fillId="0" borderId="0" xfId="70" applyFont="1" applyFill="1" applyBorder="1"/>
    <xf numFmtId="14" fontId="23" fillId="0" borderId="0" xfId="70" applyNumberFormat="1" applyFill="1" applyBorder="1" applyProtection="1">
      <protection locked="0"/>
    </xf>
    <xf numFmtId="43" fontId="0" fillId="0" borderId="0" xfId="66" applyFont="1" applyFill="1" applyBorder="1" applyAlignment="1" applyProtection="1">
      <alignment horizontal="center"/>
      <protection locked="0"/>
    </xf>
    <xf numFmtId="0" fontId="26" fillId="0" borderId="0" xfId="70" applyFont="1" applyFill="1" applyBorder="1" applyAlignment="1">
      <alignment horizontal="right"/>
    </xf>
    <xf numFmtId="43" fontId="26" fillId="0" borderId="0" xfId="70" applyNumberFormat="1" applyFont="1" applyFill="1" applyBorder="1" applyAlignment="1">
      <alignment horizontal="center"/>
    </xf>
    <xf numFmtId="43" fontId="26" fillId="0" borderId="0" xfId="70" applyNumberFormat="1" applyFont="1" applyFill="1" applyBorder="1" applyProtection="1">
      <protection hidden="1"/>
    </xf>
    <xf numFmtId="43" fontId="26" fillId="0" borderId="0" xfId="66" applyFont="1" applyFill="1" applyBorder="1" applyProtection="1">
      <protection hidden="1"/>
    </xf>
    <xf numFmtId="0" fontId="6" fillId="0" borderId="0" xfId="0" applyFont="1" applyFill="1"/>
    <xf numFmtId="0" fontId="5" fillId="0" borderId="0" xfId="0" applyFont="1" applyFill="1" applyAlignment="1">
      <alignment horizontal="center"/>
    </xf>
    <xf numFmtId="0" fontId="5" fillId="0" borderId="0" xfId="0" applyFont="1" applyFill="1" applyAlignment="1" applyProtection="1">
      <alignment horizontal="center"/>
      <protection locked="0"/>
    </xf>
    <xf numFmtId="14" fontId="16" fillId="0" borderId="0" xfId="0" applyNumberFormat="1" applyFont="1" applyBorder="1" applyAlignment="1">
      <alignment horizontal="right" wrapText="1"/>
    </xf>
    <xf numFmtId="0" fontId="7" fillId="0" borderId="0" xfId="0" applyFont="1" applyBorder="1"/>
    <xf numFmtId="9" fontId="9" fillId="0" borderId="0" xfId="9" applyNumberFormat="1" applyFont="1" applyBorder="1"/>
    <xf numFmtId="0" fontId="29" fillId="45" borderId="0" xfId="0" applyFont="1" applyFill="1"/>
    <xf numFmtId="0" fontId="9" fillId="45" borderId="0" xfId="0" applyFont="1" applyFill="1"/>
    <xf numFmtId="9" fontId="9" fillId="45" borderId="0" xfId="9" applyNumberFormat="1" applyFont="1" applyFill="1" applyBorder="1"/>
    <xf numFmtId="0" fontId="9" fillId="45" borderId="0" xfId="0" applyFont="1" applyFill="1" applyBorder="1"/>
    <xf numFmtId="0" fontId="16" fillId="0" borderId="42" xfId="0" applyFont="1" applyBorder="1" applyAlignment="1">
      <alignment horizontal="right" wrapText="1"/>
    </xf>
    <xf numFmtId="14" fontId="5" fillId="45" borderId="19" xfId="9" applyNumberFormat="1" applyFont="1" applyFill="1" applyBorder="1" applyAlignment="1" applyProtection="1">
      <alignment horizontal="center"/>
      <protection locked="0"/>
    </xf>
    <xf numFmtId="0" fontId="5" fillId="0" borderId="5" xfId="0" applyFont="1" applyFill="1" applyBorder="1"/>
    <xf numFmtId="2" fontId="5" fillId="3" borderId="46" xfId="0" applyNumberFormat="1" applyFont="1" applyFill="1" applyBorder="1" applyAlignment="1" applyProtection="1">
      <alignment horizontal="center"/>
      <protection locked="0"/>
    </xf>
    <xf numFmtId="0" fontId="5" fillId="0" borderId="61" xfId="0" applyFont="1" applyBorder="1"/>
    <xf numFmtId="166" fontId="5" fillId="0" borderId="0" xfId="0" applyNumberFormat="1" applyFont="1" applyBorder="1" applyProtection="1">
      <protection locked="0"/>
    </xf>
    <xf numFmtId="0" fontId="5" fillId="0" borderId="4" xfId="0" applyFont="1" applyBorder="1"/>
    <xf numFmtId="10" fontId="5" fillId="0" borderId="65" xfId="0" applyNumberFormat="1" applyFont="1" applyBorder="1"/>
    <xf numFmtId="0" fontId="14" fillId="0" borderId="66" xfId="0" applyFont="1" applyBorder="1" applyAlignment="1">
      <alignment horizontal="right" wrapText="1"/>
    </xf>
    <xf numFmtId="10" fontId="5" fillId="0" borderId="27" xfId="0" applyNumberFormat="1" applyFont="1" applyBorder="1" applyAlignment="1"/>
    <xf numFmtId="0" fontId="14" fillId="0" borderId="67" xfId="0" applyFont="1" applyBorder="1" applyAlignment="1">
      <alignment horizontal="right" wrapText="1"/>
    </xf>
    <xf numFmtId="0" fontId="11" fillId="0" borderId="68" xfId="0" applyFont="1" applyBorder="1"/>
    <xf numFmtId="0" fontId="6" fillId="0" borderId="69" xfId="0" applyFont="1" applyBorder="1"/>
    <xf numFmtId="9" fontId="11" fillId="3" borderId="72" xfId="0" applyNumberFormat="1" applyFont="1" applyFill="1" applyBorder="1" applyAlignment="1" applyProtection="1">
      <alignment horizontal="left"/>
      <protection locked="0"/>
    </xf>
    <xf numFmtId="0" fontId="23" fillId="0" borderId="0" xfId="11" applyAlignment="1"/>
    <xf numFmtId="0" fontId="49" fillId="0" borderId="0" xfId="0" applyFont="1" applyProtection="1">
      <protection locked="0"/>
    </xf>
    <xf numFmtId="0" fontId="51" fillId="0" borderId="0" xfId="0" applyFont="1" applyFill="1" applyBorder="1" applyAlignment="1">
      <alignment horizontal="left" vertical="top"/>
    </xf>
    <xf numFmtId="0" fontId="49" fillId="44" borderId="0" xfId="0" applyFont="1" applyFill="1" applyProtection="1">
      <protection locked="0"/>
    </xf>
    <xf numFmtId="0" fontId="52" fillId="44" borderId="0" xfId="0" applyFont="1" applyFill="1" applyProtection="1">
      <protection locked="0"/>
    </xf>
    <xf numFmtId="0" fontId="53" fillId="0" borderId="0" xfId="0" applyFont="1" applyProtection="1">
      <protection locked="0"/>
    </xf>
    <xf numFmtId="3" fontId="49" fillId="0" borderId="0" xfId="0" applyNumberFormat="1" applyFont="1" applyProtection="1">
      <protection locked="0"/>
    </xf>
    <xf numFmtId="0" fontId="49" fillId="0" borderId="0" xfId="0" applyFont="1"/>
    <xf numFmtId="0" fontId="26" fillId="0" borderId="0" xfId="0" applyFont="1" applyFill="1" applyBorder="1" applyAlignment="1">
      <alignment horizontal="left" vertical="top"/>
    </xf>
    <xf numFmtId="0" fontId="50" fillId="0" borderId="0" xfId="0" applyFont="1"/>
    <xf numFmtId="0" fontId="54" fillId="0" borderId="0" xfId="0" applyFont="1"/>
    <xf numFmtId="0" fontId="55" fillId="0" borderId="0" xfId="0" applyFont="1" applyFill="1" applyBorder="1" applyAlignment="1">
      <alignment horizontal="left" vertical="top"/>
    </xf>
    <xf numFmtId="0" fontId="55" fillId="0" borderId="0" xfId="0" quotePrefix="1" applyFont="1" applyFill="1" applyBorder="1" applyAlignment="1">
      <alignment horizontal="left" vertical="top"/>
    </xf>
    <xf numFmtId="0" fontId="56" fillId="0" borderId="0" xfId="0" applyFont="1" applyFill="1" applyBorder="1" applyAlignment="1">
      <alignment horizontal="left" vertical="top"/>
    </xf>
    <xf numFmtId="0" fontId="26" fillId="0" borderId="0" xfId="0" applyFont="1" applyFill="1" applyBorder="1"/>
    <xf numFmtId="0" fontId="26" fillId="0" borderId="0" xfId="0" applyFont="1"/>
    <xf numFmtId="0" fontId="23" fillId="0" borderId="0" xfId="0" quotePrefix="1" applyFont="1"/>
    <xf numFmtId="0" fontId="26" fillId="47" borderId="42" xfId="0" applyFont="1" applyFill="1" applyBorder="1"/>
    <xf numFmtId="0" fontId="23" fillId="0" borderId="0" xfId="0" applyFont="1"/>
    <xf numFmtId="0" fontId="57" fillId="0" borderId="0" xfId="0" quotePrefix="1" applyFont="1"/>
    <xf numFmtId="0" fontId="49" fillId="46" borderId="42" xfId="0" applyFont="1" applyFill="1" applyBorder="1"/>
    <xf numFmtId="0" fontId="53" fillId="46" borderId="42" xfId="0" applyFont="1" applyFill="1" applyBorder="1"/>
    <xf numFmtId="0" fontId="59" fillId="48" borderId="42" xfId="0" applyNumberFormat="1" applyFont="1" applyFill="1" applyBorder="1" applyAlignment="1" applyProtection="1"/>
    <xf numFmtId="0" fontId="60" fillId="51" borderId="42" xfId="0" applyNumberFormat="1" applyFont="1" applyFill="1" applyBorder="1" applyAlignment="1" applyProtection="1"/>
    <xf numFmtId="0" fontId="59" fillId="49" borderId="42" xfId="0" applyNumberFormat="1" applyFont="1" applyFill="1" applyBorder="1" applyAlignment="1" applyProtection="1"/>
    <xf numFmtId="166" fontId="5" fillId="0" borderId="27" xfId="0" applyNumberFormat="1" applyFont="1" applyBorder="1"/>
    <xf numFmtId="166" fontId="5" fillId="0" borderId="27" xfId="9" applyNumberFormat="1" applyFont="1" applyBorder="1"/>
    <xf numFmtId="3" fontId="50" fillId="41" borderId="0" xfId="74" applyNumberFormat="1" applyFont="1" applyFill="1"/>
    <xf numFmtId="3" fontId="50" fillId="42" borderId="0" xfId="74" applyNumberFormat="1" applyFont="1" applyFill="1"/>
    <xf numFmtId="3" fontId="50" fillId="8" borderId="0" xfId="74" applyNumberFormat="1" applyFont="1" applyFill="1"/>
    <xf numFmtId="0" fontId="50" fillId="5" borderId="0" xfId="0" applyFont="1" applyFill="1"/>
    <xf numFmtId="9" fontId="6" fillId="0" borderId="0" xfId="0" applyNumberFormat="1" applyFont="1" applyBorder="1" applyAlignment="1"/>
    <xf numFmtId="9" fontId="0" fillId="0" borderId="0" xfId="0" applyNumberFormat="1" applyBorder="1" applyAlignment="1"/>
    <xf numFmtId="0" fontId="7" fillId="0" borderId="0" xfId="0" applyFont="1" applyBorder="1" applyAlignment="1"/>
    <xf numFmtId="0" fontId="3" fillId="0" borderId="0" xfId="0" applyFont="1" applyBorder="1" applyAlignment="1"/>
    <xf numFmtId="0" fontId="5" fillId="8" borderId="43" xfId="0" applyFont="1" applyFill="1" applyBorder="1" applyAlignment="1"/>
    <xf numFmtId="0" fontId="0" fillId="8" borderId="44" xfId="0" applyFill="1" applyBorder="1" applyAlignment="1"/>
    <xf numFmtId="0" fontId="0" fillId="8" borderId="45" xfId="0" applyFill="1" applyBorder="1" applyAlignment="1"/>
    <xf numFmtId="0" fontId="5" fillId="8" borderId="46" xfId="0" applyFont="1" applyFill="1" applyBorder="1" applyAlignment="1"/>
    <xf numFmtId="0" fontId="0" fillId="8" borderId="18" xfId="0" applyFill="1" applyBorder="1" applyAlignment="1"/>
    <xf numFmtId="0" fontId="0" fillId="8" borderId="34" xfId="0" applyFill="1" applyBorder="1" applyAlignment="1"/>
    <xf numFmtId="0" fontId="12" fillId="0" borderId="17" xfId="0" applyFont="1" applyBorder="1" applyAlignment="1">
      <alignment horizontal="right"/>
    </xf>
    <xf numFmtId="0" fontId="5" fillId="0" borderId="6" xfId="0" applyFont="1" applyBorder="1" applyAlignment="1">
      <alignment vertical="top" wrapText="1"/>
    </xf>
    <xf numFmtId="0" fontId="5" fillId="0" borderId="3" xfId="0" applyFont="1" applyBorder="1" applyAlignment="1">
      <alignment vertical="top" wrapText="1"/>
    </xf>
    <xf numFmtId="0" fontId="5" fillId="0" borderId="62" xfId="0" applyFont="1" applyBorder="1" applyAlignment="1">
      <alignment vertical="top" wrapText="1"/>
    </xf>
    <xf numFmtId="0" fontId="5" fillId="0" borderId="63" xfId="0" applyFont="1" applyBorder="1" applyAlignment="1">
      <alignment vertical="top" wrapText="1"/>
    </xf>
    <xf numFmtId="0" fontId="14" fillId="0" borderId="64" xfId="0" applyFont="1" applyBorder="1" applyAlignment="1">
      <alignment horizontal="right" vertical="top" wrapText="1"/>
    </xf>
    <xf numFmtId="0" fontId="14" fillId="0" borderId="42" xfId="0" applyFont="1" applyBorder="1" applyAlignment="1">
      <alignment horizontal="right" vertical="top" wrapText="1"/>
    </xf>
    <xf numFmtId="0" fontId="9" fillId="0" borderId="35" xfId="0" applyFont="1" applyBorder="1" applyAlignment="1">
      <alignment horizontal="right" wrapText="1"/>
    </xf>
    <xf numFmtId="0" fontId="16" fillId="0" borderId="42" xfId="0" applyFont="1" applyBorder="1" applyAlignment="1">
      <alignment horizontal="right" wrapText="1"/>
    </xf>
    <xf numFmtId="0" fontId="17" fillId="0" borderId="5" xfId="0" applyFont="1" applyFill="1" applyBorder="1" applyAlignment="1">
      <alignment vertical="center" wrapText="1"/>
    </xf>
    <xf numFmtId="0" fontId="17" fillId="0" borderId="46" xfId="0" applyFont="1" applyFill="1" applyBorder="1" applyAlignment="1">
      <alignment vertical="center" wrapText="1"/>
    </xf>
    <xf numFmtId="0" fontId="7" fillId="0" borderId="30" xfId="0" applyFont="1" applyBorder="1" applyAlignment="1"/>
    <xf numFmtId="0" fontId="0" fillId="0" borderId="30" xfId="0" applyBorder="1" applyAlignment="1"/>
    <xf numFmtId="0" fontId="9" fillId="0" borderId="39" xfId="0" applyFont="1" applyBorder="1" applyAlignment="1">
      <alignment horizontal="left" indent="1"/>
    </xf>
    <xf numFmtId="0" fontId="27" fillId="0" borderId="39" xfId="0" applyFont="1" applyBorder="1" applyAlignment="1">
      <alignment horizontal="left" indent="1"/>
    </xf>
    <xf numFmtId="0" fontId="11" fillId="3" borderId="70" xfId="0" applyFont="1" applyFill="1" applyBorder="1" applyAlignment="1" applyProtection="1">
      <alignment horizontal="left"/>
      <protection locked="0"/>
    </xf>
    <xf numFmtId="0" fontId="0" fillId="0" borderId="71" xfId="0" applyBorder="1" applyAlignment="1"/>
    <xf numFmtId="0" fontId="23" fillId="4" borderId="42" xfId="0" applyFont="1" applyFill="1" applyBorder="1" applyAlignment="1" applyProtection="1">
      <alignment horizontal="center" vertical="center"/>
      <protection locked="0"/>
    </xf>
    <xf numFmtId="0" fontId="26" fillId="7" borderId="0" xfId="0" applyFont="1" applyFill="1" applyAlignment="1" applyProtection="1">
      <alignment horizontal="center" vertical="center" textRotation="90" wrapText="1"/>
    </xf>
    <xf numFmtId="0" fontId="23" fillId="0" borderId="0" xfId="0" applyFont="1" applyAlignment="1" applyProtection="1">
      <alignment textRotation="90" wrapText="1"/>
    </xf>
    <xf numFmtId="0" fontId="24" fillId="5" borderId="0" xfId="0" applyFont="1" applyFill="1" applyAlignment="1">
      <alignment horizontal="left"/>
    </xf>
    <xf numFmtId="0" fontId="26" fillId="7" borderId="19" xfId="0" applyFont="1" applyFill="1" applyBorder="1" applyAlignment="1" applyProtection="1">
      <alignment horizontal="center" vertical="center"/>
    </xf>
    <xf numFmtId="0" fontId="26" fillId="7" borderId="17" xfId="0" applyFont="1" applyFill="1" applyBorder="1" applyAlignment="1" applyProtection="1">
      <alignment horizontal="center" vertical="center"/>
    </xf>
    <xf numFmtId="0" fontId="26" fillId="7" borderId="35" xfId="0" applyFont="1" applyFill="1" applyBorder="1" applyAlignment="1" applyProtection="1">
      <alignment horizontal="center" vertical="center"/>
    </xf>
    <xf numFmtId="0" fontId="23" fillId="4" borderId="19" xfId="0" applyFont="1" applyFill="1" applyBorder="1" applyAlignment="1" applyProtection="1">
      <alignment horizontal="center" vertical="center"/>
      <protection locked="0"/>
    </xf>
    <xf numFmtId="0" fontId="23" fillId="4" borderId="35" xfId="0" applyFont="1" applyFill="1" applyBorder="1" applyAlignment="1" applyProtection="1">
      <alignment horizontal="center" vertical="center"/>
      <protection locked="0"/>
    </xf>
    <xf numFmtId="0" fontId="24" fillId="5" borderId="0" xfId="0" applyFont="1" applyFill="1" applyAlignment="1">
      <alignment horizontal="left" wrapText="1"/>
    </xf>
    <xf numFmtId="0" fontId="23" fillId="5" borderId="0" xfId="0" applyFont="1" applyFill="1" applyAlignment="1">
      <alignment horizontal="center" wrapText="1"/>
    </xf>
    <xf numFmtId="0" fontId="24" fillId="5" borderId="0" xfId="0" applyFont="1" applyFill="1" applyAlignment="1">
      <alignment vertical="top" wrapText="1"/>
    </xf>
    <xf numFmtId="0" fontId="0" fillId="0" borderId="0" xfId="0" applyAlignment="1">
      <alignment vertical="top" wrapText="1"/>
    </xf>
    <xf numFmtId="0" fontId="26" fillId="7" borderId="0" xfId="0" applyFont="1" applyFill="1" applyAlignment="1">
      <alignment horizontal="center" vertical="center" textRotation="90" wrapText="1"/>
    </xf>
    <xf numFmtId="0" fontId="23" fillId="0" borderId="0" xfId="0" applyFont="1" applyAlignment="1">
      <alignment textRotation="90" wrapText="1"/>
    </xf>
    <xf numFmtId="0" fontId="23" fillId="4" borderId="41" xfId="0" applyFont="1" applyFill="1" applyBorder="1" applyAlignment="1" applyProtection="1">
      <alignment horizontal="center" vertical="center"/>
      <protection locked="0"/>
    </xf>
    <xf numFmtId="0" fontId="52" fillId="0" borderId="0" xfId="0" applyFont="1" applyAlignment="1" applyProtection="1">
      <alignment horizontal="left"/>
      <protection locked="0"/>
    </xf>
    <xf numFmtId="0" fontId="58" fillId="0" borderId="0" xfId="0" applyNumberFormat="1" applyFont="1" applyFill="1" applyBorder="1" applyAlignment="1" applyProtection="1"/>
    <xf numFmtId="0" fontId="59" fillId="49" borderId="19" xfId="0" applyNumberFormat="1" applyFont="1" applyFill="1" applyBorder="1" applyAlignment="1" applyProtection="1"/>
    <xf numFmtId="0" fontId="59" fillId="49" borderId="17" xfId="0" applyNumberFormat="1" applyFont="1" applyFill="1" applyBorder="1" applyAlignment="1" applyProtection="1"/>
    <xf numFmtId="0" fontId="59" fillId="49" borderId="35" xfId="0" applyNumberFormat="1" applyFont="1" applyFill="1" applyBorder="1" applyAlignment="1" applyProtection="1"/>
    <xf numFmtId="0" fontId="59" fillId="50" borderId="19" xfId="0" applyNumberFormat="1" applyFont="1" applyFill="1" applyBorder="1" applyAlignment="1" applyProtection="1"/>
    <xf numFmtId="0" fontId="59" fillId="50" borderId="35" xfId="0" applyNumberFormat="1" applyFont="1" applyFill="1" applyBorder="1" applyAlignment="1" applyProtection="1"/>
  </cellXfs>
  <cellStyles count="75">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7" builtinId="27" customBuiltin="1"/>
    <cellStyle name="Calculation" xfId="31" builtinId="22" customBuiltin="1"/>
    <cellStyle name="Check Cell" xfId="33" builtinId="23" customBuiltin="1"/>
    <cellStyle name="Comma 2" xfId="13" xr:uid="{00000000-0005-0000-0000-00001B000000}"/>
    <cellStyle name="Comma 2 2" xfId="14" xr:uid="{00000000-0005-0000-0000-00001C000000}"/>
    <cellStyle name="Comma 2 3" xfId="66" xr:uid="{00000000-0005-0000-0000-00001D000000}"/>
    <cellStyle name="Comma 3" xfId="67" xr:uid="{00000000-0005-0000-0000-00001E000000}"/>
    <cellStyle name="Comma0" xfId="1" xr:uid="{00000000-0005-0000-0000-00001F000000}"/>
    <cellStyle name="Currency" xfId="2" builtinId="4"/>
    <cellStyle name="Currency 2" xfId="15" xr:uid="{00000000-0005-0000-0000-000021000000}"/>
    <cellStyle name="Currency 2 2" xfId="16" xr:uid="{00000000-0005-0000-0000-000022000000}"/>
    <cellStyle name="Currency 2 3" xfId="68" xr:uid="{00000000-0005-0000-0000-000023000000}"/>
    <cellStyle name="Currency 3" xfId="69" xr:uid="{00000000-0005-0000-0000-000024000000}"/>
    <cellStyle name="Currency0" xfId="3" xr:uid="{00000000-0005-0000-0000-000025000000}"/>
    <cellStyle name="Date" xfId="4" xr:uid="{00000000-0005-0000-0000-000026000000}"/>
    <cellStyle name="Explanatory Text" xfId="35" builtinId="53" customBuiltin="1"/>
    <cellStyle name="Fixed" xfId="5" xr:uid="{00000000-0005-0000-0000-000028000000}"/>
    <cellStyle name="Good" xfId="26" builtinId="26" customBuiltin="1"/>
    <cellStyle name="Heading 1" xfId="6" builtinId="16" customBuiltin="1"/>
    <cellStyle name="Heading 1 2" xfId="17" xr:uid="{00000000-0005-0000-0000-00002B000000}"/>
    <cellStyle name="Heading 1 2 2" xfId="61" xr:uid="{00000000-0005-0000-0000-00002C000000}"/>
    <cellStyle name="Heading 2" xfId="7" builtinId="17" customBuiltin="1"/>
    <cellStyle name="Heading 2 2" xfId="18" xr:uid="{00000000-0005-0000-0000-00002E000000}"/>
    <cellStyle name="Heading 2 2 2" xfId="62" xr:uid="{00000000-0005-0000-0000-00002F000000}"/>
    <cellStyle name="Heading 3" xfId="24" builtinId="18" customBuiltin="1"/>
    <cellStyle name="Heading 4" xfId="25" builtinId="19" customBuiltin="1"/>
    <cellStyle name="Hyperlink" xfId="8" builtinId="8"/>
    <cellStyle name="Hyperlink 2" xfId="19" xr:uid="{00000000-0005-0000-0000-000033000000}"/>
    <cellStyle name="Input" xfId="29" builtinId="20" customBuiltin="1"/>
    <cellStyle name="Linked Cell" xfId="32" builtinId="24" customBuiltin="1"/>
    <cellStyle name="Neutral" xfId="28" builtinId="28" customBuiltin="1"/>
    <cellStyle name="Normal" xfId="0" builtinId="0"/>
    <cellStyle name="Normal 2" xfId="11" xr:uid="{00000000-0005-0000-0000-000038000000}"/>
    <cellStyle name="Normal 2 2" xfId="70" xr:uid="{00000000-0005-0000-0000-000039000000}"/>
    <cellStyle name="Normal 3" xfId="60" xr:uid="{00000000-0005-0000-0000-00003A000000}"/>
    <cellStyle name="Normal 4" xfId="71" xr:uid="{00000000-0005-0000-0000-00003B000000}"/>
    <cellStyle name="Note 2" xfId="63" xr:uid="{00000000-0005-0000-0000-00003C000000}"/>
    <cellStyle name="Output" xfId="30" builtinId="21" customBuiltin="1"/>
    <cellStyle name="Percent" xfId="9" builtinId="5"/>
    <cellStyle name="Percent 2" xfId="20" xr:uid="{00000000-0005-0000-0000-00003F000000}"/>
    <cellStyle name="Percent 2 2" xfId="12" xr:uid="{00000000-0005-0000-0000-000040000000}"/>
    <cellStyle name="Percent 2 2 2" xfId="72" xr:uid="{00000000-0005-0000-0000-000041000000}"/>
    <cellStyle name="Percent 2 3" xfId="73" xr:uid="{00000000-0005-0000-0000-000042000000}"/>
    <cellStyle name="Percent 3" xfId="21" xr:uid="{00000000-0005-0000-0000-000043000000}"/>
    <cellStyle name="Percent 3 2" xfId="64" xr:uid="{00000000-0005-0000-0000-000044000000}"/>
    <cellStyle name="Percent 4" xfId="74" xr:uid="{00000000-0005-0000-0000-000045000000}"/>
    <cellStyle name="Title" xfId="23" builtinId="15" customBuiltin="1"/>
    <cellStyle name="Total" xfId="10" builtinId="25" customBuiltin="1"/>
    <cellStyle name="Total 2" xfId="22" xr:uid="{00000000-0005-0000-0000-000048000000}"/>
    <cellStyle name="Total 2 2" xfId="65" xr:uid="{00000000-0005-0000-0000-000049000000}"/>
    <cellStyle name="Warning Text" xfId="3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28575" cap="flat" cmpd="sng" algn="ctr">
          <a:solidFill>
            <a:srgbClr val="FF808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28575" cap="flat" cmpd="sng" algn="ctr">
          <a:solidFill>
            <a:srgbClr val="FF808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nsf.gov/bfa/dias/policy/"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L103"/>
  <sheetViews>
    <sheetView showGridLines="0" tabSelected="1" topLeftCell="BB27" zoomScaleNormal="100" workbookViewId="0">
      <selection activeCell="AA62" sqref="AA62"/>
    </sheetView>
  </sheetViews>
  <sheetFormatPr defaultColWidth="12" defaultRowHeight="10" x14ac:dyDescent="0.2"/>
  <cols>
    <col min="1" max="1" width="7" style="3" customWidth="1"/>
    <col min="2" max="2" width="2.6640625" style="3" customWidth="1"/>
    <col min="3" max="3" width="3.6640625" style="3" customWidth="1"/>
    <col min="4" max="4" width="2.6640625" style="3" customWidth="1"/>
    <col min="5" max="5" width="15.6640625" style="3" customWidth="1"/>
    <col min="6" max="6" width="11.6640625" style="3" customWidth="1"/>
    <col min="7" max="7" width="15.6640625" style="3" customWidth="1"/>
    <col min="8" max="8" width="14.6640625" style="3" customWidth="1"/>
    <col min="9" max="11" width="6.6640625" style="3" customWidth="1"/>
    <col min="12" max="12" width="11" style="3" customWidth="1"/>
    <col min="13" max="14" width="14.77734375" style="3" customWidth="1"/>
    <col min="15" max="15" width="1.6640625" style="3" customWidth="1"/>
    <col min="16" max="16" width="5.6640625" style="3" customWidth="1"/>
    <col min="17" max="17" width="2.6640625" style="3" customWidth="1"/>
    <col min="18" max="18" width="3.6640625" style="3" customWidth="1"/>
    <col min="19" max="19" width="2.6640625" style="3" customWidth="1"/>
    <col min="20" max="20" width="15.6640625" style="3" customWidth="1"/>
    <col min="21" max="21" width="11.6640625" style="3" customWidth="1"/>
    <col min="22" max="22" width="15.6640625" style="3" customWidth="1"/>
    <col min="23" max="23" width="14.6640625" style="3" customWidth="1"/>
    <col min="24" max="26" width="6.6640625" style="3" customWidth="1"/>
    <col min="27" max="27" width="11" style="3" customWidth="1"/>
    <col min="28" max="29" width="14.77734375" style="3" customWidth="1"/>
    <col min="30" max="30" width="1.6640625" style="3" customWidth="1"/>
    <col min="31" max="31" width="5.6640625" style="3" customWidth="1"/>
    <col min="32" max="32" width="2.6640625" style="3" customWidth="1"/>
    <col min="33" max="33" width="3.6640625" style="3" customWidth="1"/>
    <col min="34" max="34" width="2.6640625" style="3" customWidth="1"/>
    <col min="35" max="35" width="15.6640625" style="3" customWidth="1"/>
    <col min="36" max="36" width="11.6640625" style="3" customWidth="1"/>
    <col min="37" max="37" width="15.6640625" style="3" customWidth="1"/>
    <col min="38" max="38" width="14.6640625" style="3" customWidth="1"/>
    <col min="39" max="41" width="6.6640625" style="3" customWidth="1"/>
    <col min="42" max="42" width="11" style="3" customWidth="1"/>
    <col min="43" max="44" width="14.77734375" style="3" customWidth="1"/>
    <col min="45" max="45" width="1.6640625" style="3" customWidth="1"/>
    <col min="46" max="46" width="5.6640625" style="3" customWidth="1"/>
    <col min="47" max="47" width="2.6640625" style="3" customWidth="1"/>
    <col min="48" max="48" width="3.6640625" style="3" customWidth="1"/>
    <col min="49" max="49" width="2.6640625" style="3" customWidth="1"/>
    <col min="50" max="50" width="15.6640625" style="3" customWidth="1"/>
    <col min="51" max="51" width="11.6640625" style="3" customWidth="1"/>
    <col min="52" max="52" width="15.6640625" style="3" customWidth="1"/>
    <col min="53" max="53" width="14.6640625" style="3" customWidth="1"/>
    <col min="54" max="56" width="6.6640625" style="3" customWidth="1"/>
    <col min="57" max="57" width="11" style="3" customWidth="1"/>
    <col min="58" max="59" width="14.77734375" style="3" customWidth="1"/>
    <col min="60" max="60" width="1.6640625" style="3" customWidth="1"/>
    <col min="61" max="61" width="5.6640625" style="3" customWidth="1"/>
    <col min="62" max="62" width="2.6640625" style="3" customWidth="1"/>
    <col min="63" max="63" width="3.6640625" style="3" customWidth="1"/>
    <col min="64" max="64" width="2.6640625" style="3" customWidth="1"/>
    <col min="65" max="65" width="15.6640625" style="3" customWidth="1"/>
    <col min="66" max="66" width="11.6640625" style="3" customWidth="1"/>
    <col min="67" max="67" width="15.6640625" style="3" customWidth="1"/>
    <col min="68" max="68" width="14.6640625" style="3" customWidth="1"/>
    <col min="69" max="71" width="6.6640625" style="3" customWidth="1"/>
    <col min="72" max="72" width="11" style="3" customWidth="1"/>
    <col min="73" max="74" width="14.77734375" style="3" customWidth="1"/>
    <col min="75" max="75" width="1.6640625" style="3" customWidth="1"/>
    <col min="76" max="76" width="5.6640625" style="3" customWidth="1"/>
    <col min="77" max="77" width="2.6640625" style="3" customWidth="1"/>
    <col min="78" max="78" width="3.6640625" style="3" customWidth="1"/>
    <col min="79" max="79" width="2.6640625" style="3" customWidth="1"/>
    <col min="80" max="80" width="15.6640625" style="3" customWidth="1"/>
    <col min="81" max="81" width="11.6640625" style="3" customWidth="1"/>
    <col min="82" max="82" width="15.6640625" style="3" customWidth="1"/>
    <col min="83" max="83" width="14.6640625" style="3" customWidth="1"/>
    <col min="84" max="86" width="6.6640625" style="3" customWidth="1"/>
    <col min="87" max="87" width="11" style="3" customWidth="1"/>
    <col min="88" max="89" width="14.77734375" style="3" customWidth="1"/>
    <col min="90" max="90" width="1.6640625" style="3" customWidth="1"/>
    <col min="91" max="16384" width="12" style="3"/>
  </cols>
  <sheetData>
    <row r="1" spans="1:35" s="47" customFormat="1" ht="13" x14ac:dyDescent="0.3">
      <c r="A1" s="354" t="s">
        <v>257</v>
      </c>
      <c r="B1" s="354"/>
      <c r="C1" s="354"/>
      <c r="D1" s="354"/>
      <c r="E1" s="354"/>
      <c r="F1" s="355"/>
      <c r="G1" s="355"/>
      <c r="H1" s="355"/>
      <c r="I1" s="355"/>
      <c r="J1" s="355"/>
      <c r="K1" s="355"/>
      <c r="L1" s="355"/>
    </row>
    <row r="2" spans="1:35" s="47" customFormat="1" ht="13" x14ac:dyDescent="0.3">
      <c r="A2" s="355" t="s">
        <v>258</v>
      </c>
      <c r="B2" s="355"/>
      <c r="C2" s="355"/>
      <c r="D2" s="355"/>
      <c r="E2" s="355"/>
      <c r="F2" s="355"/>
      <c r="G2" s="355"/>
      <c r="H2" s="355"/>
      <c r="I2" s="355"/>
      <c r="J2" s="355"/>
      <c r="K2" s="355"/>
      <c r="L2" s="355"/>
      <c r="AE2" s="407" t="s">
        <v>408</v>
      </c>
      <c r="AF2" s="408"/>
      <c r="AG2" s="408"/>
      <c r="AH2" s="408"/>
      <c r="AI2" s="409"/>
    </row>
    <row r="3" spans="1:35" s="47" customFormat="1" ht="13" x14ac:dyDescent="0.3">
      <c r="A3" s="356" t="s">
        <v>256</v>
      </c>
      <c r="B3" s="357"/>
      <c r="C3" s="357"/>
      <c r="D3" s="357"/>
      <c r="E3" s="357"/>
      <c r="F3" s="357"/>
      <c r="G3" s="357"/>
      <c r="H3" s="355"/>
      <c r="I3" s="355"/>
      <c r="J3" s="355"/>
      <c r="K3" s="355"/>
      <c r="L3" s="355"/>
      <c r="AE3" s="410" t="s">
        <v>409</v>
      </c>
      <c r="AF3" s="411"/>
      <c r="AG3" s="411"/>
      <c r="AH3" s="411"/>
      <c r="AI3" s="412"/>
    </row>
    <row r="4" spans="1:35" s="47" customFormat="1" ht="12.5" hidden="1" x14ac:dyDescent="0.25">
      <c r="A4" s="353"/>
      <c r="B4" s="145"/>
      <c r="C4"/>
      <c r="D4" s="145"/>
      <c r="E4" s="145"/>
      <c r="F4" s="145"/>
      <c r="G4" s="145"/>
    </row>
    <row r="5" spans="1:35" s="47" customFormat="1" ht="12.5" hidden="1" x14ac:dyDescent="0.25">
      <c r="A5" s="353"/>
      <c r="B5" s="145"/>
      <c r="C5" s="145"/>
      <c r="D5" s="145"/>
      <c r="E5" s="145"/>
      <c r="F5" s="145"/>
      <c r="G5" s="145"/>
    </row>
    <row r="6" spans="1:35" s="47" customFormat="1" ht="12.5" x14ac:dyDescent="0.25">
      <c r="A6" s="356" t="s">
        <v>259</v>
      </c>
      <c r="B6" s="357"/>
      <c r="C6" s="357"/>
      <c r="D6" s="357"/>
      <c r="E6" s="357"/>
      <c r="F6" s="357"/>
      <c r="G6" s="357"/>
      <c r="H6" s="355"/>
      <c r="I6" s="355"/>
      <c r="J6" s="355"/>
      <c r="K6" s="355"/>
      <c r="L6" s="355"/>
    </row>
    <row r="7" spans="1:35" s="110" customFormat="1" ht="25.5" customHeight="1" thickBot="1" x14ac:dyDescent="0.25">
      <c r="A7" s="111"/>
      <c r="L7" s="139"/>
    </row>
    <row r="8" spans="1:35" ht="20.25" customHeight="1" x14ac:dyDescent="0.3">
      <c r="A8" s="414" t="s">
        <v>123</v>
      </c>
      <c r="B8" s="415"/>
      <c r="C8" s="415"/>
      <c r="D8" s="415"/>
      <c r="E8" s="415"/>
      <c r="F8" s="416"/>
      <c r="G8" s="417" t="s">
        <v>122</v>
      </c>
      <c r="H8" s="415"/>
      <c r="I8" s="415"/>
      <c r="J8" s="415"/>
      <c r="K8" s="55"/>
      <c r="L8" s="364"/>
      <c r="M8" s="52"/>
    </row>
    <row r="9" spans="1:35" ht="13" x14ac:dyDescent="0.3">
      <c r="A9" s="14"/>
      <c r="B9" s="52"/>
      <c r="C9" s="52"/>
      <c r="D9" s="52"/>
      <c r="E9" s="53" t="s">
        <v>216</v>
      </c>
      <c r="F9" s="363">
        <v>0.53</v>
      </c>
      <c r="G9" s="5"/>
      <c r="H9" s="53" t="s">
        <v>1</v>
      </c>
      <c r="I9" s="53"/>
      <c r="J9" s="53" t="s">
        <v>2</v>
      </c>
      <c r="K9" s="53"/>
      <c r="L9" s="397">
        <v>0.27300000000000002</v>
      </c>
      <c r="M9" s="52"/>
    </row>
    <row r="10" spans="1:35" ht="13" x14ac:dyDescent="0.3">
      <c r="A10" s="14"/>
      <c r="B10" s="52"/>
      <c r="C10" s="52"/>
      <c r="D10" s="52"/>
      <c r="E10" s="53" t="s">
        <v>217</v>
      </c>
      <c r="F10" s="363">
        <v>0.53</v>
      </c>
      <c r="G10" s="5"/>
      <c r="H10" s="53" t="s">
        <v>4</v>
      </c>
      <c r="I10" s="53"/>
      <c r="J10" s="53" t="s">
        <v>5</v>
      </c>
      <c r="K10" s="53"/>
      <c r="L10" s="397">
        <v>0.34499999999999997</v>
      </c>
      <c r="M10" s="52"/>
    </row>
    <row r="11" spans="1:35" ht="13" x14ac:dyDescent="0.3">
      <c r="A11" s="14"/>
      <c r="B11" s="52"/>
      <c r="C11" s="52"/>
      <c r="D11" s="52"/>
      <c r="E11" s="53" t="s">
        <v>406</v>
      </c>
      <c r="F11" s="363">
        <v>0.53</v>
      </c>
      <c r="G11" s="5"/>
      <c r="H11" s="53" t="s">
        <v>7</v>
      </c>
      <c r="I11" s="53"/>
      <c r="J11" s="53" t="s">
        <v>8</v>
      </c>
      <c r="K11" s="53"/>
      <c r="L11" s="397">
        <v>0.441</v>
      </c>
      <c r="M11" s="52"/>
    </row>
    <row r="12" spans="1:35" ht="13" x14ac:dyDescent="0.3">
      <c r="A12" s="14"/>
      <c r="B12" s="52"/>
      <c r="C12" s="52"/>
      <c r="D12" s="52"/>
      <c r="E12" s="53" t="s">
        <v>407</v>
      </c>
      <c r="F12" s="363">
        <v>0.53</v>
      </c>
      <c r="G12" s="5"/>
      <c r="H12" s="53" t="s">
        <v>10</v>
      </c>
      <c r="I12" s="53"/>
      <c r="J12" s="53" t="s">
        <v>11</v>
      </c>
      <c r="K12" s="53"/>
      <c r="L12" s="398">
        <v>7.6999999999999999E-2</v>
      </c>
      <c r="M12" s="52"/>
    </row>
    <row r="13" spans="1:35" ht="13" x14ac:dyDescent="0.3">
      <c r="A13" s="14"/>
      <c r="B13" s="52"/>
      <c r="C13" s="52"/>
      <c r="D13" s="52"/>
      <c r="G13" s="5"/>
      <c r="H13" s="53" t="s">
        <v>13</v>
      </c>
      <c r="I13" s="53"/>
      <c r="J13" s="53" t="s">
        <v>14</v>
      </c>
      <c r="K13" s="53"/>
      <c r="L13" s="397">
        <v>0.32300000000000001</v>
      </c>
      <c r="M13" s="52"/>
    </row>
    <row r="14" spans="1:35" ht="13" x14ac:dyDescent="0.3">
      <c r="A14" s="14"/>
      <c r="B14" s="52"/>
      <c r="C14" s="52"/>
      <c r="D14" s="52"/>
      <c r="G14" s="5"/>
      <c r="H14" s="53" t="s">
        <v>125</v>
      </c>
      <c r="I14" s="53"/>
      <c r="J14" s="53" t="s">
        <v>126</v>
      </c>
      <c r="K14" s="53"/>
      <c r="L14" s="397">
        <v>6.0000000000000001E-3</v>
      </c>
      <c r="M14" s="52"/>
    </row>
    <row r="15" spans="1:35" ht="13.5" thickBot="1" x14ac:dyDescent="0.35">
      <c r="A15" s="14"/>
      <c r="B15" s="52"/>
      <c r="C15" s="52"/>
      <c r="D15" s="52"/>
      <c r="E15" s="52"/>
      <c r="F15" s="52"/>
      <c r="G15" s="362"/>
      <c r="H15" s="128" t="s">
        <v>15</v>
      </c>
      <c r="I15" s="131"/>
      <c r="J15" s="53" t="s">
        <v>16</v>
      </c>
      <c r="K15" s="52"/>
      <c r="L15" s="397">
        <v>9.1999999999999998E-2</v>
      </c>
      <c r="M15" s="52"/>
    </row>
    <row r="16" spans="1:35" ht="39" customHeight="1" thickTop="1" x14ac:dyDescent="0.3">
      <c r="A16" s="418" t="s">
        <v>17</v>
      </c>
      <c r="B16" s="419"/>
      <c r="C16" s="419"/>
      <c r="D16" s="419"/>
      <c r="E16" s="419"/>
      <c r="F16" s="419"/>
      <c r="G16" s="361">
        <v>4</v>
      </c>
      <c r="H16" s="360"/>
      <c r="I16" s="52"/>
      <c r="J16" s="2"/>
      <c r="K16" s="1"/>
      <c r="L16" s="365"/>
      <c r="M16" s="52"/>
    </row>
    <row r="17" spans="1:90" s="138" customFormat="1" ht="16.5" customHeight="1" x14ac:dyDescent="0.35">
      <c r="A17" s="366"/>
      <c r="B17" s="420" t="s">
        <v>254</v>
      </c>
      <c r="C17" s="421"/>
      <c r="D17" s="421"/>
      <c r="E17" s="421"/>
      <c r="F17" s="358"/>
      <c r="G17" s="359">
        <v>44440</v>
      </c>
      <c r="H17" s="422"/>
      <c r="I17" s="136"/>
      <c r="J17" s="137"/>
      <c r="K17" s="136"/>
      <c r="L17" s="367"/>
      <c r="M17" s="136"/>
    </row>
    <row r="18" spans="1:90" s="138" customFormat="1" ht="16.5" customHeight="1" x14ac:dyDescent="0.35">
      <c r="A18" s="368"/>
      <c r="B18" s="420" t="s">
        <v>255</v>
      </c>
      <c r="C18" s="421"/>
      <c r="D18" s="421"/>
      <c r="E18" s="421"/>
      <c r="F18" s="358"/>
      <c r="G18" s="359">
        <f>IF(years=1,G17+364,IF(years=2,G17+729,IF(years=3,G17+1094,IF(years=4,G17+1459,IF(years=5,G17+1824,0)))))</f>
        <v>45899</v>
      </c>
      <c r="H18" s="423"/>
      <c r="I18" s="136"/>
      <c r="J18" s="137"/>
      <c r="K18" s="136"/>
      <c r="L18" s="367"/>
      <c r="M18" s="136"/>
    </row>
    <row r="19" spans="1:90" s="131" customFormat="1" ht="32.25" customHeight="1" thickBot="1" x14ac:dyDescent="0.35">
      <c r="A19" s="369" t="s">
        <v>18</v>
      </c>
      <c r="B19" s="370"/>
      <c r="C19" s="370"/>
      <c r="D19" s="370"/>
      <c r="E19" s="370"/>
      <c r="F19" s="370"/>
      <c r="G19" s="428" t="s">
        <v>410</v>
      </c>
      <c r="H19" s="429"/>
      <c r="I19" s="426" t="s">
        <v>218</v>
      </c>
      <c r="J19" s="427"/>
      <c r="K19" s="427"/>
      <c r="L19" s="371">
        <v>0.03</v>
      </c>
    </row>
    <row r="20" spans="1:90" ht="11" thickTop="1" x14ac:dyDescent="0.25">
      <c r="C20" s="6"/>
      <c r="AI20" s="348"/>
    </row>
    <row r="21" spans="1:90" ht="15.75" customHeight="1" thickBot="1" x14ac:dyDescent="0.35">
      <c r="A21" s="6"/>
      <c r="E21" s="349"/>
      <c r="G21" s="4" t="s">
        <v>19</v>
      </c>
      <c r="M21" s="4" t="s">
        <v>20</v>
      </c>
      <c r="P21" s="6"/>
      <c r="T21" s="349"/>
      <c r="V21" s="4" t="s">
        <v>19</v>
      </c>
      <c r="AB21" s="4" t="s">
        <v>21</v>
      </c>
      <c r="AE21" s="6"/>
      <c r="AI21" s="349"/>
      <c r="AK21" s="4" t="s">
        <v>19</v>
      </c>
      <c r="AQ21" s="4" t="s">
        <v>22</v>
      </c>
      <c r="AT21" s="6"/>
      <c r="AX21" s="349"/>
      <c r="AZ21" s="4" t="s">
        <v>19</v>
      </c>
      <c r="BF21" s="4" t="s">
        <v>23</v>
      </c>
      <c r="BI21" s="6"/>
      <c r="BM21" s="349"/>
      <c r="BO21" s="4" t="s">
        <v>19</v>
      </c>
      <c r="BU21" s="4" t="s">
        <v>24</v>
      </c>
      <c r="BX21" s="6"/>
      <c r="CD21" s="4" t="s">
        <v>19</v>
      </c>
      <c r="CJ21" s="4" t="s">
        <v>25</v>
      </c>
    </row>
    <row r="22" spans="1:90" ht="13.5" customHeight="1" thickBot="1" x14ac:dyDescent="0.35">
      <c r="A22" s="424"/>
      <c r="B22" s="425"/>
      <c r="E22" s="350"/>
      <c r="G22" s="4" t="s">
        <v>26</v>
      </c>
      <c r="K22" s="57"/>
      <c r="L22" s="89" t="s">
        <v>27</v>
      </c>
      <c r="M22" s="7"/>
      <c r="N22" s="8"/>
      <c r="O22" s="9"/>
      <c r="P22" s="6"/>
      <c r="T22" s="350"/>
      <c r="V22" s="4" t="s">
        <v>26</v>
      </c>
      <c r="Z22" s="57"/>
      <c r="AA22" s="89" t="s">
        <v>27</v>
      </c>
      <c r="AB22" s="7"/>
      <c r="AC22" s="8"/>
      <c r="AD22" s="9"/>
      <c r="AE22" s="6"/>
      <c r="AI22" s="350"/>
      <c r="AK22" s="4" t="s">
        <v>26</v>
      </c>
      <c r="AO22" s="57"/>
      <c r="AP22" s="89" t="s">
        <v>27</v>
      </c>
      <c r="AQ22" s="7"/>
      <c r="AR22" s="8"/>
      <c r="AS22" s="9"/>
      <c r="AT22" s="6"/>
      <c r="AX22" s="350"/>
      <c r="AZ22" s="4" t="s">
        <v>26</v>
      </c>
      <c r="BD22" s="57"/>
      <c r="BE22" s="89" t="s">
        <v>27</v>
      </c>
      <c r="BF22" s="7"/>
      <c r="BG22" s="8"/>
      <c r="BH22" s="9"/>
      <c r="BI22" s="6"/>
      <c r="BM22" s="350"/>
      <c r="BO22" s="4" t="s">
        <v>26</v>
      </c>
      <c r="BS22" s="57"/>
      <c r="BT22" s="89" t="s">
        <v>27</v>
      </c>
      <c r="BU22" s="7"/>
      <c r="BV22" s="8"/>
      <c r="BW22" s="9"/>
      <c r="BX22" s="6"/>
      <c r="CD22" s="4" t="s">
        <v>26</v>
      </c>
      <c r="CH22" s="57"/>
      <c r="CI22" s="89" t="s">
        <v>27</v>
      </c>
      <c r="CJ22" s="7"/>
      <c r="CK22" s="8"/>
      <c r="CL22" s="9"/>
    </row>
    <row r="23" spans="1:90" ht="12" customHeight="1" x14ac:dyDescent="0.2">
      <c r="A23" s="10" t="s">
        <v>28</v>
      </c>
      <c r="B23" s="11"/>
      <c r="C23" s="11"/>
      <c r="D23" s="11"/>
      <c r="E23" s="11"/>
      <c r="F23" s="11"/>
      <c r="G23" s="11"/>
      <c r="H23" s="11"/>
      <c r="I23" s="11"/>
      <c r="J23" s="11"/>
      <c r="K23" s="14" t="s">
        <v>29</v>
      </c>
      <c r="M23" s="12" t="s">
        <v>30</v>
      </c>
      <c r="N23" s="13"/>
      <c r="O23" s="9"/>
      <c r="P23" s="10" t="s">
        <v>28</v>
      </c>
      <c r="Q23" s="11"/>
      <c r="R23" s="11"/>
      <c r="S23" s="11"/>
      <c r="T23" s="11"/>
      <c r="U23" s="11"/>
      <c r="V23" s="11"/>
      <c r="W23" s="11"/>
      <c r="X23" s="11"/>
      <c r="Y23" s="11"/>
      <c r="Z23" s="14" t="s">
        <v>29</v>
      </c>
      <c r="AB23" s="12" t="s">
        <v>30</v>
      </c>
      <c r="AC23" s="13"/>
      <c r="AD23" s="9"/>
      <c r="AE23" s="10" t="s">
        <v>28</v>
      </c>
      <c r="AF23" s="11"/>
      <c r="AG23" s="11"/>
      <c r="AH23" s="11"/>
      <c r="AI23" s="11"/>
      <c r="AJ23" s="11"/>
      <c r="AK23" s="11"/>
      <c r="AL23" s="11"/>
      <c r="AM23" s="11"/>
      <c r="AN23" s="11"/>
      <c r="AO23" s="14" t="s">
        <v>29</v>
      </c>
      <c r="AQ23" s="12" t="s">
        <v>30</v>
      </c>
      <c r="AR23" s="13"/>
      <c r="AS23" s="9"/>
      <c r="AT23" s="10" t="s">
        <v>28</v>
      </c>
      <c r="AU23" s="11"/>
      <c r="AV23" s="11"/>
      <c r="AW23" s="11"/>
      <c r="AX23" s="11"/>
      <c r="AY23" s="11"/>
      <c r="AZ23" s="11"/>
      <c r="BA23" s="11"/>
      <c r="BB23" s="11"/>
      <c r="BC23" s="11"/>
      <c r="BD23" s="14" t="s">
        <v>29</v>
      </c>
      <c r="BF23" s="12" t="s">
        <v>30</v>
      </c>
      <c r="BG23" s="13"/>
      <c r="BH23" s="9"/>
      <c r="BI23" s="10" t="s">
        <v>28</v>
      </c>
      <c r="BJ23" s="11"/>
      <c r="BK23" s="11"/>
      <c r="BL23" s="11"/>
      <c r="BM23" s="11"/>
      <c r="BN23" s="11"/>
      <c r="BO23" s="11"/>
      <c r="BP23" s="11"/>
      <c r="BQ23" s="11"/>
      <c r="BR23" s="11"/>
      <c r="BS23" s="14" t="s">
        <v>29</v>
      </c>
      <c r="BU23" s="12" t="s">
        <v>30</v>
      </c>
      <c r="BV23" s="13"/>
      <c r="BW23" s="9"/>
      <c r="BX23" s="10" t="s">
        <v>28</v>
      </c>
      <c r="BY23" s="11"/>
      <c r="BZ23" s="11"/>
      <c r="CA23" s="11"/>
      <c r="CB23" s="11"/>
      <c r="CC23" s="11"/>
      <c r="CD23" s="11"/>
      <c r="CE23" s="11"/>
      <c r="CF23" s="11"/>
      <c r="CG23" s="11"/>
      <c r="CH23" s="14" t="s">
        <v>29</v>
      </c>
      <c r="CJ23" s="12" t="s">
        <v>30</v>
      </c>
      <c r="CK23" s="13"/>
      <c r="CL23" s="9"/>
    </row>
    <row r="24" spans="1:90" ht="12" customHeight="1" x14ac:dyDescent="0.3">
      <c r="A24" s="14"/>
      <c r="E24" s="4" t="s">
        <v>31</v>
      </c>
      <c r="K24" s="15"/>
      <c r="L24" s="86"/>
      <c r="M24" s="16" t="s">
        <v>32</v>
      </c>
      <c r="N24" s="17" t="s">
        <v>33</v>
      </c>
      <c r="O24" s="9"/>
      <c r="P24" s="14"/>
      <c r="T24" s="4" t="s">
        <v>31</v>
      </c>
      <c r="Z24" s="15"/>
      <c r="AA24" s="86"/>
      <c r="AB24" s="16" t="s">
        <v>32</v>
      </c>
      <c r="AC24" s="17" t="s">
        <v>33</v>
      </c>
      <c r="AD24" s="9"/>
      <c r="AE24" s="14"/>
      <c r="AI24" s="4" t="s">
        <v>31</v>
      </c>
      <c r="AO24" s="15"/>
      <c r="AP24" s="86"/>
      <c r="AQ24" s="16" t="s">
        <v>32</v>
      </c>
      <c r="AR24" s="17" t="s">
        <v>33</v>
      </c>
      <c r="AS24" s="9"/>
      <c r="AT24" s="14"/>
      <c r="AX24" s="4" t="s">
        <v>31</v>
      </c>
      <c r="BD24" s="15"/>
      <c r="BE24" s="86"/>
      <c r="BF24" s="16" t="s">
        <v>32</v>
      </c>
      <c r="BG24" s="17" t="s">
        <v>33</v>
      </c>
      <c r="BH24" s="9"/>
      <c r="BI24" s="14"/>
      <c r="BM24" s="4" t="s">
        <v>31</v>
      </c>
      <c r="BS24" s="15"/>
      <c r="BT24" s="86"/>
      <c r="BU24" s="16" t="s">
        <v>32</v>
      </c>
      <c r="BV24" s="17" t="s">
        <v>33</v>
      </c>
      <c r="BW24" s="9"/>
      <c r="BX24" s="14"/>
      <c r="CB24" s="4" t="s">
        <v>31</v>
      </c>
      <c r="CH24" s="15"/>
      <c r="CI24" s="86"/>
      <c r="CJ24" s="16" t="s">
        <v>32</v>
      </c>
      <c r="CK24" s="17" t="s">
        <v>33</v>
      </c>
      <c r="CL24" s="9"/>
    </row>
    <row r="25" spans="1:90" ht="12" customHeight="1" x14ac:dyDescent="0.3">
      <c r="A25" s="18" t="s">
        <v>34</v>
      </c>
      <c r="B25" s="19"/>
      <c r="C25" s="19"/>
      <c r="D25" s="19"/>
      <c r="E25" s="19"/>
      <c r="F25" s="19"/>
      <c r="G25" s="19"/>
      <c r="H25" s="19"/>
      <c r="I25" s="19"/>
      <c r="J25" s="19"/>
      <c r="K25" s="90" t="s">
        <v>35</v>
      </c>
      <c r="M25" s="20"/>
      <c r="N25" s="21" t="s">
        <v>36</v>
      </c>
      <c r="O25" s="9"/>
      <c r="P25" s="18" t="s">
        <v>34</v>
      </c>
      <c r="Q25" s="19"/>
      <c r="R25" s="19"/>
      <c r="S25" s="19"/>
      <c r="T25" s="22"/>
      <c r="U25" s="19"/>
      <c r="V25" s="19"/>
      <c r="W25" s="19"/>
      <c r="X25" s="19"/>
      <c r="Y25" s="19"/>
      <c r="Z25" s="90" t="s">
        <v>35</v>
      </c>
      <c r="AB25" s="20"/>
      <c r="AC25" s="21" t="s">
        <v>36</v>
      </c>
      <c r="AD25" s="9"/>
      <c r="AE25" s="18" t="s">
        <v>34</v>
      </c>
      <c r="AF25" s="19"/>
      <c r="AG25" s="19"/>
      <c r="AH25" s="19"/>
      <c r="AI25" s="22"/>
      <c r="AJ25" s="19"/>
      <c r="AK25" s="19"/>
      <c r="AL25" s="19"/>
      <c r="AM25" s="19"/>
      <c r="AN25" s="19"/>
      <c r="AO25" s="90" t="s">
        <v>35</v>
      </c>
      <c r="AQ25" s="20"/>
      <c r="AR25" s="21" t="s">
        <v>36</v>
      </c>
      <c r="AS25" s="9"/>
      <c r="AT25" s="18" t="s">
        <v>34</v>
      </c>
      <c r="AU25" s="19"/>
      <c r="AV25" s="19"/>
      <c r="AW25" s="19"/>
      <c r="AX25" s="22"/>
      <c r="AY25" s="19"/>
      <c r="AZ25" s="19"/>
      <c r="BA25" s="19"/>
      <c r="BB25" s="19"/>
      <c r="BC25" s="19"/>
      <c r="BD25" s="90" t="s">
        <v>35</v>
      </c>
      <c r="BF25" s="20"/>
      <c r="BG25" s="21" t="s">
        <v>36</v>
      </c>
      <c r="BH25" s="9"/>
      <c r="BI25" s="18" t="s">
        <v>34</v>
      </c>
      <c r="BJ25" s="19"/>
      <c r="BK25" s="19"/>
      <c r="BL25" s="19"/>
      <c r="BM25" s="22"/>
      <c r="BN25" s="19"/>
      <c r="BO25" s="19"/>
      <c r="BP25" s="19"/>
      <c r="BQ25" s="19"/>
      <c r="BR25" s="19"/>
      <c r="BS25" s="90" t="s">
        <v>35</v>
      </c>
      <c r="BU25" s="20"/>
      <c r="BV25" s="21" t="s">
        <v>36</v>
      </c>
      <c r="BW25" s="9"/>
      <c r="BX25" s="18" t="s">
        <v>34</v>
      </c>
      <c r="BY25" s="19"/>
      <c r="BZ25" s="19"/>
      <c r="CA25" s="19"/>
      <c r="CB25" s="22"/>
      <c r="CC25" s="19"/>
      <c r="CD25" s="19"/>
      <c r="CE25" s="19"/>
      <c r="CF25" s="19"/>
      <c r="CG25" s="19"/>
      <c r="CH25" s="90" t="s">
        <v>35</v>
      </c>
      <c r="CJ25" s="20"/>
      <c r="CK25" s="21" t="s">
        <v>36</v>
      </c>
      <c r="CL25" s="9"/>
    </row>
    <row r="26" spans="1:90" ht="12" customHeight="1" thickBot="1" x14ac:dyDescent="0.35">
      <c r="A26" s="14"/>
      <c r="E26" s="4" t="str">
        <f>G19</f>
        <v>James Lathrop</v>
      </c>
      <c r="I26" s="51"/>
      <c r="K26" s="23"/>
      <c r="L26" s="91"/>
      <c r="M26" s="24"/>
      <c r="N26" s="25"/>
      <c r="O26" s="9"/>
      <c r="P26" s="14"/>
      <c r="T26" s="4" t="str">
        <f>E26</f>
        <v>James Lathrop</v>
      </c>
      <c r="X26" s="51"/>
      <c r="Z26" s="23"/>
      <c r="AA26" s="91"/>
      <c r="AB26" s="24"/>
      <c r="AC26" s="25"/>
      <c r="AD26" s="9"/>
      <c r="AE26" s="14"/>
      <c r="AI26" s="4" t="str">
        <f>E26</f>
        <v>James Lathrop</v>
      </c>
      <c r="AM26" s="51"/>
      <c r="AO26" s="23"/>
      <c r="AP26" s="91"/>
      <c r="AQ26" s="24"/>
      <c r="AR26" s="25"/>
      <c r="AS26" s="9"/>
      <c r="AT26" s="14"/>
      <c r="AX26" s="4" t="str">
        <f>T26</f>
        <v>James Lathrop</v>
      </c>
      <c r="BB26" s="51"/>
      <c r="BD26" s="23"/>
      <c r="BE26" s="91"/>
      <c r="BF26" s="24"/>
      <c r="BG26" s="25"/>
      <c r="BH26" s="9"/>
      <c r="BI26" s="14"/>
      <c r="BM26" s="4" t="str">
        <f>AI26</f>
        <v>James Lathrop</v>
      </c>
      <c r="BQ26" s="51"/>
      <c r="BS26" s="23"/>
      <c r="BT26" s="91"/>
      <c r="BU26" s="24"/>
      <c r="BV26" s="25"/>
      <c r="BW26" s="9"/>
      <c r="BX26" s="14"/>
      <c r="CB26" s="4" t="str">
        <f>E26</f>
        <v>James Lathrop</v>
      </c>
      <c r="CF26" s="51"/>
      <c r="CH26" s="23"/>
      <c r="CI26" s="91"/>
      <c r="CJ26" s="24"/>
      <c r="CK26" s="25"/>
      <c r="CL26" s="9"/>
    </row>
    <row r="27" spans="1:90" ht="12" customHeight="1" x14ac:dyDescent="0.3">
      <c r="A27" s="26" t="s">
        <v>37</v>
      </c>
      <c r="B27" s="19"/>
      <c r="C27" s="19"/>
      <c r="D27" s="19"/>
      <c r="E27" s="19"/>
      <c r="F27" s="19"/>
      <c r="G27" s="19"/>
      <c r="H27" s="19"/>
      <c r="J27" s="20" t="s">
        <v>38</v>
      </c>
      <c r="K27" s="19"/>
      <c r="L27" s="52"/>
      <c r="M27" s="27" t="s">
        <v>39</v>
      </c>
      <c r="N27" s="28" t="s">
        <v>39</v>
      </c>
      <c r="O27" s="9"/>
      <c r="P27" s="18" t="s">
        <v>37</v>
      </c>
      <c r="Q27" s="19"/>
      <c r="R27" s="19"/>
      <c r="S27" s="19"/>
      <c r="T27" s="22"/>
      <c r="U27" s="19"/>
      <c r="V27" s="19"/>
      <c r="W27" s="19"/>
      <c r="Y27" s="20" t="s">
        <v>38</v>
      </c>
      <c r="Z27" s="19"/>
      <c r="AA27" s="52"/>
      <c r="AB27" s="29" t="s">
        <v>40</v>
      </c>
      <c r="AC27" s="30" t="s">
        <v>40</v>
      </c>
      <c r="AD27" s="9"/>
      <c r="AE27" s="18" t="s">
        <v>37</v>
      </c>
      <c r="AF27" s="19"/>
      <c r="AG27" s="19"/>
      <c r="AH27" s="19"/>
      <c r="AI27" s="22"/>
      <c r="AJ27" s="19"/>
      <c r="AK27" s="19"/>
      <c r="AL27" s="19"/>
      <c r="AN27" s="20" t="s">
        <v>38</v>
      </c>
      <c r="AO27" s="19"/>
      <c r="AP27" s="52"/>
      <c r="AQ27" s="29" t="s">
        <v>41</v>
      </c>
      <c r="AR27" s="30" t="s">
        <v>40</v>
      </c>
      <c r="AS27" s="9"/>
      <c r="AT27" s="18" t="s">
        <v>37</v>
      </c>
      <c r="AU27" s="19"/>
      <c r="AV27" s="19"/>
      <c r="AW27" s="19"/>
      <c r="AX27" s="22"/>
      <c r="AY27" s="19"/>
      <c r="AZ27" s="19"/>
      <c r="BA27" s="19"/>
      <c r="BC27" s="20" t="s">
        <v>38</v>
      </c>
      <c r="BD27" s="19"/>
      <c r="BE27" s="52"/>
      <c r="BF27" s="29" t="s">
        <v>41</v>
      </c>
      <c r="BG27" s="30" t="s">
        <v>40</v>
      </c>
      <c r="BH27" s="9"/>
      <c r="BI27" s="18" t="s">
        <v>37</v>
      </c>
      <c r="BJ27" s="19"/>
      <c r="BK27" s="19"/>
      <c r="BL27" s="19"/>
      <c r="BM27" s="22"/>
      <c r="BN27" s="19"/>
      <c r="BO27" s="19"/>
      <c r="BP27" s="19"/>
      <c r="BR27" s="20" t="s">
        <v>38</v>
      </c>
      <c r="BS27" s="19"/>
      <c r="BT27" s="52"/>
      <c r="BU27" s="29" t="s">
        <v>41</v>
      </c>
      <c r="BV27" s="30" t="s">
        <v>40</v>
      </c>
      <c r="BW27" s="9"/>
      <c r="BX27" s="18" t="s">
        <v>37</v>
      </c>
      <c r="BY27" s="19"/>
      <c r="BZ27" s="19"/>
      <c r="CA27" s="19"/>
      <c r="CB27" s="22"/>
      <c r="CC27" s="19"/>
      <c r="CD27" s="19"/>
      <c r="CE27" s="19"/>
      <c r="CG27" s="20" t="s">
        <v>38</v>
      </c>
      <c r="CH27" s="19"/>
      <c r="CI27" s="52"/>
      <c r="CJ27" s="27" t="s">
        <v>39</v>
      </c>
      <c r="CK27" s="28" t="s">
        <v>39</v>
      </c>
      <c r="CL27" s="9"/>
    </row>
    <row r="28" spans="1:90" ht="12" customHeight="1" x14ac:dyDescent="0.3">
      <c r="A28" s="14" t="s">
        <v>42</v>
      </c>
      <c r="J28" s="9" t="s">
        <v>43</v>
      </c>
      <c r="L28" s="86"/>
      <c r="M28" s="88" t="s">
        <v>44</v>
      </c>
      <c r="N28" s="32" t="s">
        <v>45</v>
      </c>
      <c r="O28" s="9"/>
      <c r="P28" s="14" t="s">
        <v>42</v>
      </c>
      <c r="T28" s="4"/>
      <c r="Y28" s="9" t="s">
        <v>43</v>
      </c>
      <c r="AA28" s="86"/>
      <c r="AB28" s="33" t="s">
        <v>44</v>
      </c>
      <c r="AC28" s="34" t="s">
        <v>45</v>
      </c>
      <c r="AD28" s="9"/>
      <c r="AE28" s="14" t="s">
        <v>42</v>
      </c>
      <c r="AI28" s="4"/>
      <c r="AN28" s="9" t="s">
        <v>43</v>
      </c>
      <c r="AP28" s="86"/>
      <c r="AQ28" s="33" t="s">
        <v>44</v>
      </c>
      <c r="AR28" s="34" t="s">
        <v>45</v>
      </c>
      <c r="AS28" s="9"/>
      <c r="AT28" s="14" t="s">
        <v>42</v>
      </c>
      <c r="AX28" s="4"/>
      <c r="BC28" s="9" t="s">
        <v>43</v>
      </c>
      <c r="BE28" s="86"/>
      <c r="BF28" s="33" t="s">
        <v>44</v>
      </c>
      <c r="BG28" s="34" t="s">
        <v>45</v>
      </c>
      <c r="BH28" s="9"/>
      <c r="BI28" s="14" t="s">
        <v>42</v>
      </c>
      <c r="BM28" s="4"/>
      <c r="BR28" s="9" t="s">
        <v>43</v>
      </c>
      <c r="BT28" s="86"/>
      <c r="BU28" s="33" t="s">
        <v>44</v>
      </c>
      <c r="BV28" s="34" t="s">
        <v>45</v>
      </c>
      <c r="BW28" s="9"/>
      <c r="BX28" s="14" t="s">
        <v>42</v>
      </c>
      <c r="CB28" s="4"/>
      <c r="CG28" s="9" t="s">
        <v>43</v>
      </c>
      <c r="CI28" s="86"/>
      <c r="CJ28" s="31" t="s">
        <v>44</v>
      </c>
      <c r="CK28" s="32" t="s">
        <v>45</v>
      </c>
      <c r="CL28" s="9"/>
    </row>
    <row r="29" spans="1:90" ht="12" customHeight="1" x14ac:dyDescent="0.3">
      <c r="A29" s="14"/>
      <c r="E29" s="4"/>
      <c r="I29" s="86"/>
      <c r="J29" s="16" t="s">
        <v>46</v>
      </c>
      <c r="K29" s="16" t="s">
        <v>47</v>
      </c>
      <c r="L29" s="16" t="s">
        <v>48</v>
      </c>
      <c r="M29" s="31" t="s">
        <v>49</v>
      </c>
      <c r="N29" s="36" t="s">
        <v>50</v>
      </c>
      <c r="O29" s="9"/>
      <c r="P29" s="14"/>
      <c r="T29" s="4"/>
      <c r="X29" s="86"/>
      <c r="Y29" s="16" t="s">
        <v>46</v>
      </c>
      <c r="Z29" s="16" t="s">
        <v>47</v>
      </c>
      <c r="AA29" s="16" t="s">
        <v>48</v>
      </c>
      <c r="AB29" s="33" t="s">
        <v>51</v>
      </c>
      <c r="AC29" s="37" t="s">
        <v>52</v>
      </c>
      <c r="AD29" s="9"/>
      <c r="AE29" s="14"/>
      <c r="AI29" s="4"/>
      <c r="AM29" s="86"/>
      <c r="AN29" s="16" t="s">
        <v>46</v>
      </c>
      <c r="AO29" s="16" t="s">
        <v>47</v>
      </c>
      <c r="AP29" s="16" t="s">
        <v>48</v>
      </c>
      <c r="AQ29" s="33" t="s">
        <v>51</v>
      </c>
      <c r="AR29" s="37" t="s">
        <v>52</v>
      </c>
      <c r="AS29" s="9"/>
      <c r="AT29" s="14"/>
      <c r="AX29" s="4"/>
      <c r="BB29" s="86"/>
      <c r="BC29" s="16" t="s">
        <v>46</v>
      </c>
      <c r="BD29" s="16" t="s">
        <v>47</v>
      </c>
      <c r="BE29" s="16" t="s">
        <v>48</v>
      </c>
      <c r="BF29" s="33" t="s">
        <v>51</v>
      </c>
      <c r="BG29" s="37" t="s">
        <v>52</v>
      </c>
      <c r="BH29" s="9"/>
      <c r="BI29" s="14"/>
      <c r="BM29" s="4"/>
      <c r="BQ29" s="86"/>
      <c r="BR29" s="16" t="s">
        <v>46</v>
      </c>
      <c r="BS29" s="16" t="s">
        <v>47</v>
      </c>
      <c r="BT29" s="16" t="s">
        <v>48</v>
      </c>
      <c r="BU29" s="33" t="s">
        <v>51</v>
      </c>
      <c r="BV29" s="37" t="s">
        <v>52</v>
      </c>
      <c r="BW29" s="9"/>
      <c r="BX29" s="14"/>
      <c r="CB29" s="4"/>
      <c r="CF29" s="86"/>
      <c r="CG29" s="16" t="s">
        <v>46</v>
      </c>
      <c r="CH29" s="16" t="s">
        <v>47</v>
      </c>
      <c r="CI29" s="16" t="s">
        <v>48</v>
      </c>
      <c r="CJ29" s="31" t="s">
        <v>49</v>
      </c>
      <c r="CK29" s="36" t="s">
        <v>50</v>
      </c>
      <c r="CL29" s="9"/>
    </row>
    <row r="30" spans="1:90" ht="12" customHeight="1" x14ac:dyDescent="0.3">
      <c r="A30" s="26" t="s">
        <v>53</v>
      </c>
      <c r="B30" s="19"/>
      <c r="C30" s="19"/>
      <c r="D30" s="19"/>
      <c r="E30" s="129" t="str">
        <f xml:space="preserve"> E26</f>
        <v>James Lathrop</v>
      </c>
      <c r="F30" s="19"/>
      <c r="G30" s="19"/>
      <c r="H30" s="19"/>
      <c r="I30" s="87"/>
      <c r="J30" s="148">
        <v>0</v>
      </c>
      <c r="K30" s="148">
        <v>0</v>
      </c>
      <c r="L30" s="148">
        <v>1</v>
      </c>
      <c r="M30" s="247">
        <v>10875</v>
      </c>
      <c r="N30" s="176"/>
      <c r="O30" s="9"/>
      <c r="P30" s="26" t="s">
        <v>53</v>
      </c>
      <c r="Q30" s="19"/>
      <c r="R30" s="19"/>
      <c r="S30" s="19"/>
      <c r="T30" s="22" t="str">
        <f>E30</f>
        <v>James Lathrop</v>
      </c>
      <c r="U30" s="19"/>
      <c r="V30" s="19"/>
      <c r="W30" s="19"/>
      <c r="X30" s="87"/>
      <c r="Y30" s="152">
        <f t="shared" ref="Y30:Y35" si="0">IF(years&gt;1,+J30,0)</f>
        <v>0</v>
      </c>
      <c r="Z30" s="152">
        <f t="shared" ref="Z30:Z35" si="1">IF(years&gt;1,+K30,0)</f>
        <v>0</v>
      </c>
      <c r="AA30" s="153">
        <f t="shared" ref="AA30:AA35" si="2">IF(years&gt;1,+L30,0)</f>
        <v>1</v>
      </c>
      <c r="AB30" s="247">
        <f t="shared" ref="AB30:AB35" si="3">IF(years&gt;1,ROUND(SUM(M30+(M30*$L$19)),0),0)</f>
        <v>11201</v>
      </c>
      <c r="AC30" s="38"/>
      <c r="AD30" s="9"/>
      <c r="AE30" s="26" t="s">
        <v>53</v>
      </c>
      <c r="AF30" s="19"/>
      <c r="AG30" s="19"/>
      <c r="AH30" s="19"/>
      <c r="AI30" s="22" t="str">
        <f>E30</f>
        <v>James Lathrop</v>
      </c>
      <c r="AJ30" s="19"/>
      <c r="AK30" s="19"/>
      <c r="AL30" s="19"/>
      <c r="AM30" s="87"/>
      <c r="AN30" s="152">
        <f t="shared" ref="AN30:AP35" si="4">IF(years&gt;2,+Y30,0)</f>
        <v>0</v>
      </c>
      <c r="AO30" s="152">
        <f t="shared" si="4"/>
        <v>0</v>
      </c>
      <c r="AP30" s="153">
        <f t="shared" si="4"/>
        <v>1</v>
      </c>
      <c r="AQ30" s="247">
        <f>IF(years&gt;2,ROUND(SUM(AB30+(AB30*$L$19)),0),0)</f>
        <v>11537</v>
      </c>
      <c r="AR30" s="38"/>
      <c r="AS30" s="9"/>
      <c r="AT30" s="26" t="s">
        <v>53</v>
      </c>
      <c r="AU30" s="19"/>
      <c r="AV30" s="19"/>
      <c r="AW30" s="19"/>
      <c r="AX30" s="22" t="str">
        <f>T30</f>
        <v>James Lathrop</v>
      </c>
      <c r="AY30" s="19"/>
      <c r="AZ30" s="19"/>
      <c r="BA30" s="19"/>
      <c r="BB30" s="87"/>
      <c r="BC30" s="152">
        <f t="shared" ref="BC30:BE35" si="5">IF(years&gt;3,+AN30,0)</f>
        <v>0</v>
      </c>
      <c r="BD30" s="152">
        <f t="shared" si="5"/>
        <v>0</v>
      </c>
      <c r="BE30" s="153">
        <f t="shared" si="5"/>
        <v>1</v>
      </c>
      <c r="BF30" s="247">
        <f t="shared" ref="BF30:BF35" si="6">IF(years&gt;3,ROUND(SUM(AQ30+(AQ30*$L$19)),0),0)</f>
        <v>11883</v>
      </c>
      <c r="BG30" s="38"/>
      <c r="BH30" s="9"/>
      <c r="BI30" s="26" t="s">
        <v>53</v>
      </c>
      <c r="BJ30" s="19"/>
      <c r="BK30" s="19"/>
      <c r="BL30" s="19"/>
      <c r="BM30" s="22" t="str">
        <f>AI30</f>
        <v>James Lathrop</v>
      </c>
      <c r="BN30" s="19"/>
      <c r="BO30" s="19"/>
      <c r="BP30" s="19"/>
      <c r="BQ30" s="87"/>
      <c r="BR30" s="152">
        <f t="shared" ref="BR30:BT35" si="7">IF(years&gt;4,+BC30,0)</f>
        <v>0</v>
      </c>
      <c r="BS30" s="152">
        <f t="shared" si="7"/>
        <v>0</v>
      </c>
      <c r="BT30" s="153">
        <f t="shared" si="7"/>
        <v>0</v>
      </c>
      <c r="BU30" s="247">
        <f t="shared" ref="BU30:BU35" si="8">IF(years&gt;4,ROUND(SUM(BF30+(BF30*$L$19)),0),0)</f>
        <v>0</v>
      </c>
      <c r="BV30" s="38"/>
      <c r="BW30" s="9"/>
      <c r="BX30" s="26" t="s">
        <v>53</v>
      </c>
      <c r="BY30" s="19"/>
      <c r="BZ30" s="19"/>
      <c r="CA30" s="19"/>
      <c r="CB30" s="22" t="str">
        <f>E30</f>
        <v>James Lathrop</v>
      </c>
      <c r="CC30" s="19"/>
      <c r="CD30" s="19"/>
      <c r="CE30" s="19"/>
      <c r="CF30" s="87"/>
      <c r="CG30" s="155">
        <f t="shared" ref="CG30:CI35" si="9">AN30+Y30+J30+BC30+BR30</f>
        <v>0</v>
      </c>
      <c r="CH30" s="155">
        <f t="shared" si="9"/>
        <v>0</v>
      </c>
      <c r="CI30" s="155">
        <f t="shared" si="9"/>
        <v>4</v>
      </c>
      <c r="CJ30" s="248">
        <f t="shared" ref="CJ30:CJ36" si="10">AQ30+AB30+M30+BF30+BU30</f>
        <v>45496</v>
      </c>
      <c r="CK30" s="38"/>
      <c r="CL30" s="9"/>
    </row>
    <row r="31" spans="1:90" ht="12" customHeight="1" x14ac:dyDescent="0.3">
      <c r="A31" s="26" t="s">
        <v>54</v>
      </c>
      <c r="B31" s="19"/>
      <c r="C31" s="19"/>
      <c r="D31" s="19"/>
      <c r="E31" s="130"/>
      <c r="F31" s="19"/>
      <c r="G31" s="19"/>
      <c r="H31" s="19"/>
      <c r="I31" s="87"/>
      <c r="J31" s="149">
        <v>0</v>
      </c>
      <c r="K31" s="149">
        <v>0</v>
      </c>
      <c r="L31" s="149">
        <v>0</v>
      </c>
      <c r="M31" s="247">
        <v>0</v>
      </c>
      <c r="N31" s="176"/>
      <c r="O31" s="9"/>
      <c r="P31" s="26" t="s">
        <v>54</v>
      </c>
      <c r="Q31" s="19"/>
      <c r="R31" s="19"/>
      <c r="S31" s="19"/>
      <c r="T31" s="113">
        <f>E31</f>
        <v>0</v>
      </c>
      <c r="U31" s="19"/>
      <c r="V31" s="19"/>
      <c r="W31" s="19"/>
      <c r="X31" s="87"/>
      <c r="Y31" s="152">
        <f t="shared" si="0"/>
        <v>0</v>
      </c>
      <c r="Z31" s="152">
        <f t="shared" si="1"/>
        <v>0</v>
      </c>
      <c r="AA31" s="153">
        <f t="shared" si="2"/>
        <v>0</v>
      </c>
      <c r="AB31" s="247">
        <f t="shared" si="3"/>
        <v>0</v>
      </c>
      <c r="AC31" s="38"/>
      <c r="AD31" s="9"/>
      <c r="AE31" s="26" t="s">
        <v>54</v>
      </c>
      <c r="AF31" s="19"/>
      <c r="AG31" s="19"/>
      <c r="AH31" s="19"/>
      <c r="AI31" s="113">
        <f>E31</f>
        <v>0</v>
      </c>
      <c r="AJ31" s="19"/>
      <c r="AK31" s="19"/>
      <c r="AL31" s="19"/>
      <c r="AM31" s="87"/>
      <c r="AN31" s="152">
        <f t="shared" si="4"/>
        <v>0</v>
      </c>
      <c r="AO31" s="152">
        <f t="shared" si="4"/>
        <v>0</v>
      </c>
      <c r="AP31" s="153">
        <f t="shared" si="4"/>
        <v>0</v>
      </c>
      <c r="AQ31" s="247">
        <f t="shared" ref="AQ31:AQ35" si="11">ROUND(IF(years&gt;2,AB31*1.03,0),0)</f>
        <v>0</v>
      </c>
      <c r="AR31" s="38"/>
      <c r="AS31" s="9"/>
      <c r="AT31" s="26" t="s">
        <v>54</v>
      </c>
      <c r="AU31" s="19"/>
      <c r="AV31" s="19"/>
      <c r="AW31" s="19"/>
      <c r="AX31" s="113">
        <f>T31</f>
        <v>0</v>
      </c>
      <c r="AY31" s="19"/>
      <c r="AZ31" s="19"/>
      <c r="BA31" s="19"/>
      <c r="BB31" s="87"/>
      <c r="BC31" s="152">
        <f t="shared" si="5"/>
        <v>0</v>
      </c>
      <c r="BD31" s="152">
        <f t="shared" si="5"/>
        <v>0</v>
      </c>
      <c r="BE31" s="153">
        <f t="shared" si="5"/>
        <v>0</v>
      </c>
      <c r="BF31" s="247">
        <f t="shared" si="6"/>
        <v>0</v>
      </c>
      <c r="BG31" s="38"/>
      <c r="BH31" s="9"/>
      <c r="BI31" s="26" t="s">
        <v>54</v>
      </c>
      <c r="BJ31" s="19"/>
      <c r="BK31" s="19"/>
      <c r="BL31" s="19"/>
      <c r="BM31" s="113">
        <f>AI31</f>
        <v>0</v>
      </c>
      <c r="BN31" s="19"/>
      <c r="BO31" s="19"/>
      <c r="BP31" s="19"/>
      <c r="BQ31" s="87"/>
      <c r="BR31" s="152">
        <f t="shared" si="7"/>
        <v>0</v>
      </c>
      <c r="BS31" s="152">
        <f t="shared" si="7"/>
        <v>0</v>
      </c>
      <c r="BT31" s="153">
        <f t="shared" si="7"/>
        <v>0</v>
      </c>
      <c r="BU31" s="247">
        <f t="shared" si="8"/>
        <v>0</v>
      </c>
      <c r="BV31" s="38"/>
      <c r="BW31" s="9"/>
      <c r="BX31" s="26" t="s">
        <v>54</v>
      </c>
      <c r="BY31" s="19"/>
      <c r="BZ31" s="19"/>
      <c r="CA31" s="19"/>
      <c r="CB31" s="22">
        <f>E31</f>
        <v>0</v>
      </c>
      <c r="CC31" s="19"/>
      <c r="CD31" s="19"/>
      <c r="CE31" s="19"/>
      <c r="CF31" s="87"/>
      <c r="CG31" s="155">
        <f t="shared" si="9"/>
        <v>0</v>
      </c>
      <c r="CH31" s="155">
        <f t="shared" si="9"/>
        <v>0</v>
      </c>
      <c r="CI31" s="155">
        <f t="shared" si="9"/>
        <v>0</v>
      </c>
      <c r="CJ31" s="248">
        <f t="shared" si="10"/>
        <v>0</v>
      </c>
      <c r="CK31" s="38"/>
      <c r="CL31" s="9"/>
    </row>
    <row r="32" spans="1:90" ht="12" customHeight="1" x14ac:dyDescent="0.3">
      <c r="A32" s="26" t="s">
        <v>55</v>
      </c>
      <c r="B32" s="19"/>
      <c r="C32" s="19"/>
      <c r="D32" s="19"/>
      <c r="E32" s="130"/>
      <c r="F32" s="19"/>
      <c r="G32" s="19"/>
      <c r="H32" s="19"/>
      <c r="I32" s="87"/>
      <c r="J32" s="149">
        <v>0</v>
      </c>
      <c r="K32" s="149">
        <v>0</v>
      </c>
      <c r="L32" s="149">
        <v>0</v>
      </c>
      <c r="M32" s="247">
        <v>0</v>
      </c>
      <c r="N32" s="176"/>
      <c r="O32" s="9"/>
      <c r="P32" s="26" t="s">
        <v>55</v>
      </c>
      <c r="Q32" s="19"/>
      <c r="R32" s="19"/>
      <c r="S32" s="19"/>
      <c r="T32" s="113">
        <f>E32</f>
        <v>0</v>
      </c>
      <c r="U32" s="19"/>
      <c r="V32" s="19"/>
      <c r="W32" s="19"/>
      <c r="X32" s="87"/>
      <c r="Y32" s="152">
        <f t="shared" si="0"/>
        <v>0</v>
      </c>
      <c r="Z32" s="152">
        <f t="shared" si="1"/>
        <v>0</v>
      </c>
      <c r="AA32" s="153">
        <f t="shared" si="2"/>
        <v>0</v>
      </c>
      <c r="AB32" s="247">
        <f t="shared" si="3"/>
        <v>0</v>
      </c>
      <c r="AC32" s="38"/>
      <c r="AD32" s="9"/>
      <c r="AE32" s="26" t="s">
        <v>55</v>
      </c>
      <c r="AF32" s="19"/>
      <c r="AG32" s="19"/>
      <c r="AH32" s="19"/>
      <c r="AI32" s="113">
        <f>E32</f>
        <v>0</v>
      </c>
      <c r="AJ32" s="19"/>
      <c r="AK32" s="19"/>
      <c r="AL32" s="19"/>
      <c r="AM32" s="87"/>
      <c r="AN32" s="152">
        <f t="shared" si="4"/>
        <v>0</v>
      </c>
      <c r="AO32" s="152">
        <f t="shared" si="4"/>
        <v>0</v>
      </c>
      <c r="AP32" s="153">
        <f t="shared" si="4"/>
        <v>0</v>
      </c>
      <c r="AQ32" s="247">
        <f t="shared" si="11"/>
        <v>0</v>
      </c>
      <c r="AR32" s="38"/>
      <c r="AS32" s="9"/>
      <c r="AT32" s="26" t="s">
        <v>55</v>
      </c>
      <c r="AU32" s="19"/>
      <c r="AV32" s="19"/>
      <c r="AW32" s="19"/>
      <c r="AX32" s="113">
        <f>T32</f>
        <v>0</v>
      </c>
      <c r="AY32" s="19"/>
      <c r="AZ32" s="19"/>
      <c r="BA32" s="19"/>
      <c r="BB32" s="87"/>
      <c r="BC32" s="152">
        <f t="shared" si="5"/>
        <v>0</v>
      </c>
      <c r="BD32" s="152">
        <f t="shared" si="5"/>
        <v>0</v>
      </c>
      <c r="BE32" s="153">
        <f t="shared" si="5"/>
        <v>0</v>
      </c>
      <c r="BF32" s="247">
        <f t="shared" si="6"/>
        <v>0</v>
      </c>
      <c r="BG32" s="38"/>
      <c r="BH32" s="9"/>
      <c r="BI32" s="26" t="s">
        <v>55</v>
      </c>
      <c r="BJ32" s="19"/>
      <c r="BK32" s="19"/>
      <c r="BL32" s="19"/>
      <c r="BM32" s="113">
        <f>AI32</f>
        <v>0</v>
      </c>
      <c r="BN32" s="19"/>
      <c r="BO32" s="19"/>
      <c r="BP32" s="19"/>
      <c r="BQ32" s="87"/>
      <c r="BR32" s="152">
        <f t="shared" si="7"/>
        <v>0</v>
      </c>
      <c r="BS32" s="152">
        <f t="shared" si="7"/>
        <v>0</v>
      </c>
      <c r="BT32" s="153">
        <f t="shared" si="7"/>
        <v>0</v>
      </c>
      <c r="BU32" s="247">
        <f t="shared" si="8"/>
        <v>0</v>
      </c>
      <c r="BV32" s="38"/>
      <c r="BW32" s="9"/>
      <c r="BX32" s="26" t="s">
        <v>55</v>
      </c>
      <c r="BY32" s="19"/>
      <c r="BZ32" s="19"/>
      <c r="CA32" s="19"/>
      <c r="CB32" s="22">
        <f>E32</f>
        <v>0</v>
      </c>
      <c r="CC32" s="19"/>
      <c r="CD32" s="19"/>
      <c r="CE32" s="19"/>
      <c r="CF32" s="87"/>
      <c r="CG32" s="155">
        <f t="shared" si="9"/>
        <v>0</v>
      </c>
      <c r="CH32" s="155">
        <f t="shared" si="9"/>
        <v>0</v>
      </c>
      <c r="CI32" s="155">
        <f t="shared" si="9"/>
        <v>0</v>
      </c>
      <c r="CJ32" s="248">
        <f t="shared" si="10"/>
        <v>0</v>
      </c>
      <c r="CK32" s="38"/>
      <c r="CL32" s="9"/>
    </row>
    <row r="33" spans="1:90" ht="12" customHeight="1" x14ac:dyDescent="0.3">
      <c r="A33" s="26" t="s">
        <v>56</v>
      </c>
      <c r="B33" s="19"/>
      <c r="C33" s="19"/>
      <c r="D33" s="19"/>
      <c r="E33" s="130"/>
      <c r="F33" s="19"/>
      <c r="G33" s="19"/>
      <c r="H33" s="19"/>
      <c r="I33" s="87"/>
      <c r="J33" s="149">
        <v>0</v>
      </c>
      <c r="K33" s="149">
        <v>0</v>
      </c>
      <c r="L33" s="149">
        <v>0</v>
      </c>
      <c r="M33" s="247">
        <v>0</v>
      </c>
      <c r="N33" s="176"/>
      <c r="O33" s="9"/>
      <c r="P33" s="26" t="s">
        <v>56</v>
      </c>
      <c r="Q33" s="19"/>
      <c r="R33" s="19"/>
      <c r="S33" s="19"/>
      <c r="T33" s="113">
        <f>E33</f>
        <v>0</v>
      </c>
      <c r="U33" s="19"/>
      <c r="V33" s="19"/>
      <c r="W33" s="19"/>
      <c r="X33" s="87"/>
      <c r="Y33" s="152">
        <f t="shared" si="0"/>
        <v>0</v>
      </c>
      <c r="Z33" s="152">
        <f t="shared" si="1"/>
        <v>0</v>
      </c>
      <c r="AA33" s="153">
        <f t="shared" si="2"/>
        <v>0</v>
      </c>
      <c r="AB33" s="247">
        <f t="shared" si="3"/>
        <v>0</v>
      </c>
      <c r="AC33" s="30"/>
      <c r="AD33" s="9"/>
      <c r="AE33" s="26" t="s">
        <v>56</v>
      </c>
      <c r="AF33" s="19"/>
      <c r="AG33" s="19"/>
      <c r="AH33" s="19"/>
      <c r="AI33" s="113">
        <f>E33</f>
        <v>0</v>
      </c>
      <c r="AJ33" s="19"/>
      <c r="AK33" s="19"/>
      <c r="AL33" s="19"/>
      <c r="AM33" s="87"/>
      <c r="AN33" s="152">
        <f t="shared" si="4"/>
        <v>0</v>
      </c>
      <c r="AO33" s="152">
        <f t="shared" si="4"/>
        <v>0</v>
      </c>
      <c r="AP33" s="153">
        <f t="shared" si="4"/>
        <v>0</v>
      </c>
      <c r="AQ33" s="247">
        <f t="shared" si="11"/>
        <v>0</v>
      </c>
      <c r="AR33" s="30"/>
      <c r="AS33" s="9"/>
      <c r="AT33" s="26" t="s">
        <v>56</v>
      </c>
      <c r="AU33" s="19"/>
      <c r="AV33" s="19"/>
      <c r="AW33" s="19"/>
      <c r="AX33" s="113">
        <f>T33</f>
        <v>0</v>
      </c>
      <c r="AY33" s="19"/>
      <c r="AZ33" s="19"/>
      <c r="BA33" s="19"/>
      <c r="BB33" s="87"/>
      <c r="BC33" s="152">
        <f t="shared" si="5"/>
        <v>0</v>
      </c>
      <c r="BD33" s="152">
        <f t="shared" si="5"/>
        <v>0</v>
      </c>
      <c r="BE33" s="153">
        <f t="shared" si="5"/>
        <v>0</v>
      </c>
      <c r="BF33" s="247">
        <f t="shared" si="6"/>
        <v>0</v>
      </c>
      <c r="BG33" s="30"/>
      <c r="BH33" s="9"/>
      <c r="BI33" s="26" t="s">
        <v>56</v>
      </c>
      <c r="BJ33" s="19"/>
      <c r="BK33" s="19"/>
      <c r="BL33" s="19"/>
      <c r="BM33" s="113">
        <f>AI33</f>
        <v>0</v>
      </c>
      <c r="BN33" s="19"/>
      <c r="BO33" s="19"/>
      <c r="BP33" s="19"/>
      <c r="BQ33" s="87"/>
      <c r="BR33" s="152">
        <f t="shared" si="7"/>
        <v>0</v>
      </c>
      <c r="BS33" s="152">
        <f t="shared" si="7"/>
        <v>0</v>
      </c>
      <c r="BT33" s="153">
        <f t="shared" si="7"/>
        <v>0</v>
      </c>
      <c r="BU33" s="247">
        <f t="shared" si="8"/>
        <v>0</v>
      </c>
      <c r="BV33" s="30"/>
      <c r="BW33" s="9"/>
      <c r="BX33" s="26" t="s">
        <v>56</v>
      </c>
      <c r="BY33" s="19"/>
      <c r="BZ33" s="19"/>
      <c r="CA33" s="19"/>
      <c r="CB33" s="22">
        <f>E33</f>
        <v>0</v>
      </c>
      <c r="CC33" s="19"/>
      <c r="CD33" s="19"/>
      <c r="CE33" s="19"/>
      <c r="CF33" s="87"/>
      <c r="CG33" s="155">
        <f t="shared" si="9"/>
        <v>0</v>
      </c>
      <c r="CH33" s="155">
        <f t="shared" si="9"/>
        <v>0</v>
      </c>
      <c r="CI33" s="155">
        <f t="shared" si="9"/>
        <v>0</v>
      </c>
      <c r="CJ33" s="248">
        <f t="shared" si="10"/>
        <v>0</v>
      </c>
      <c r="CK33" s="30"/>
      <c r="CL33" s="9"/>
    </row>
    <row r="34" spans="1:90" ht="12" customHeight="1" x14ac:dyDescent="0.3">
      <c r="A34" s="26" t="s">
        <v>57</v>
      </c>
      <c r="B34" s="19"/>
      <c r="C34" s="19"/>
      <c r="D34" s="19"/>
      <c r="E34" s="130"/>
      <c r="F34" s="19"/>
      <c r="G34" s="19"/>
      <c r="H34" s="19"/>
      <c r="I34" s="87"/>
      <c r="J34" s="149">
        <v>0</v>
      </c>
      <c r="K34" s="149">
        <v>0</v>
      </c>
      <c r="L34" s="149">
        <v>0</v>
      </c>
      <c r="M34" s="247">
        <v>0</v>
      </c>
      <c r="N34" s="176"/>
      <c r="O34" s="9"/>
      <c r="P34" s="26" t="s">
        <v>57</v>
      </c>
      <c r="Q34" s="19"/>
      <c r="R34" s="19"/>
      <c r="S34" s="19"/>
      <c r="T34" s="113">
        <f>E34</f>
        <v>0</v>
      </c>
      <c r="U34" s="19"/>
      <c r="V34" s="19"/>
      <c r="W34" s="19"/>
      <c r="X34" s="87"/>
      <c r="Y34" s="152">
        <f t="shared" si="0"/>
        <v>0</v>
      </c>
      <c r="Z34" s="152">
        <f t="shared" si="1"/>
        <v>0</v>
      </c>
      <c r="AA34" s="153">
        <f t="shared" si="2"/>
        <v>0</v>
      </c>
      <c r="AB34" s="247">
        <f t="shared" si="3"/>
        <v>0</v>
      </c>
      <c r="AC34" s="38"/>
      <c r="AD34" s="9"/>
      <c r="AE34" s="26" t="s">
        <v>57</v>
      </c>
      <c r="AF34" s="19"/>
      <c r="AG34" s="19"/>
      <c r="AH34" s="19"/>
      <c r="AI34" s="113">
        <f>E34</f>
        <v>0</v>
      </c>
      <c r="AJ34" s="19"/>
      <c r="AK34" s="19"/>
      <c r="AL34" s="19"/>
      <c r="AM34" s="87"/>
      <c r="AN34" s="152">
        <f t="shared" si="4"/>
        <v>0</v>
      </c>
      <c r="AO34" s="152">
        <f t="shared" si="4"/>
        <v>0</v>
      </c>
      <c r="AP34" s="153">
        <f t="shared" si="4"/>
        <v>0</v>
      </c>
      <c r="AQ34" s="247">
        <f t="shared" si="11"/>
        <v>0</v>
      </c>
      <c r="AR34" s="38"/>
      <c r="AS34" s="9"/>
      <c r="AT34" s="26" t="s">
        <v>57</v>
      </c>
      <c r="AU34" s="19"/>
      <c r="AV34" s="19"/>
      <c r="AW34" s="19"/>
      <c r="AX34" s="113">
        <f>T34</f>
        <v>0</v>
      </c>
      <c r="AY34" s="19"/>
      <c r="AZ34" s="19"/>
      <c r="BA34" s="19"/>
      <c r="BB34" s="87"/>
      <c r="BC34" s="152">
        <f t="shared" si="5"/>
        <v>0</v>
      </c>
      <c r="BD34" s="152">
        <f t="shared" si="5"/>
        <v>0</v>
      </c>
      <c r="BE34" s="153">
        <f t="shared" si="5"/>
        <v>0</v>
      </c>
      <c r="BF34" s="247">
        <f t="shared" si="6"/>
        <v>0</v>
      </c>
      <c r="BG34" s="38"/>
      <c r="BH34" s="9"/>
      <c r="BI34" s="26" t="s">
        <v>57</v>
      </c>
      <c r="BJ34" s="19"/>
      <c r="BK34" s="19"/>
      <c r="BL34" s="19"/>
      <c r="BM34" s="113">
        <f>AI34</f>
        <v>0</v>
      </c>
      <c r="BN34" s="19"/>
      <c r="BO34" s="19"/>
      <c r="BP34" s="19"/>
      <c r="BQ34" s="87"/>
      <c r="BR34" s="152">
        <f t="shared" si="7"/>
        <v>0</v>
      </c>
      <c r="BS34" s="152">
        <f t="shared" si="7"/>
        <v>0</v>
      </c>
      <c r="BT34" s="153">
        <f t="shared" si="7"/>
        <v>0</v>
      </c>
      <c r="BU34" s="247">
        <f t="shared" si="8"/>
        <v>0</v>
      </c>
      <c r="BV34" s="38"/>
      <c r="BW34" s="9"/>
      <c r="BX34" s="26" t="s">
        <v>57</v>
      </c>
      <c r="BY34" s="19"/>
      <c r="BZ34" s="19"/>
      <c r="CA34" s="19"/>
      <c r="CB34" s="22">
        <f>E34</f>
        <v>0</v>
      </c>
      <c r="CC34" s="19"/>
      <c r="CD34" s="19"/>
      <c r="CE34" s="19"/>
      <c r="CF34" s="87"/>
      <c r="CG34" s="155">
        <f t="shared" si="9"/>
        <v>0</v>
      </c>
      <c r="CH34" s="155">
        <f t="shared" si="9"/>
        <v>0</v>
      </c>
      <c r="CI34" s="155">
        <f t="shared" si="9"/>
        <v>0</v>
      </c>
      <c r="CJ34" s="248">
        <f t="shared" si="10"/>
        <v>0</v>
      </c>
      <c r="CK34" s="38"/>
      <c r="CL34" s="9"/>
    </row>
    <row r="35" spans="1:90" ht="12" customHeight="1" x14ac:dyDescent="0.3">
      <c r="A35" s="26" t="s">
        <v>58</v>
      </c>
      <c r="B35" s="19" t="s">
        <v>59</v>
      </c>
      <c r="C35" s="114">
        <v>0</v>
      </c>
      <c r="D35" s="19" t="s">
        <v>60</v>
      </c>
      <c r="E35" s="19" t="s">
        <v>61</v>
      </c>
      <c r="F35" s="19"/>
      <c r="G35" s="19"/>
      <c r="H35" s="19"/>
      <c r="I35" s="87"/>
      <c r="J35" s="149">
        <v>0</v>
      </c>
      <c r="K35" s="149">
        <v>0</v>
      </c>
      <c r="L35" s="149">
        <v>0</v>
      </c>
      <c r="M35" s="247">
        <v>0</v>
      </c>
      <c r="N35" s="176"/>
      <c r="O35" s="9"/>
      <c r="P35" s="26" t="s">
        <v>58</v>
      </c>
      <c r="Q35" s="19" t="s">
        <v>59</v>
      </c>
      <c r="R35" s="127">
        <f>IF(years&gt;1,+C35,0)</f>
        <v>0</v>
      </c>
      <c r="S35" s="19" t="s">
        <v>60</v>
      </c>
      <c r="T35" s="19" t="s">
        <v>61</v>
      </c>
      <c r="U35" s="19"/>
      <c r="V35" s="19"/>
      <c r="W35" s="19"/>
      <c r="X35" s="87"/>
      <c r="Y35" s="154">
        <f t="shared" si="0"/>
        <v>0</v>
      </c>
      <c r="Z35" s="154">
        <f t="shared" si="1"/>
        <v>0</v>
      </c>
      <c r="AA35" s="153">
        <f t="shared" si="2"/>
        <v>0</v>
      </c>
      <c r="AB35" s="247">
        <f t="shared" si="3"/>
        <v>0</v>
      </c>
      <c r="AC35" s="38"/>
      <c r="AD35" s="9"/>
      <c r="AE35" s="26" t="s">
        <v>58</v>
      </c>
      <c r="AF35" s="19" t="s">
        <v>59</v>
      </c>
      <c r="AG35" s="127">
        <f>IF(years&gt;2,+R35,0)</f>
        <v>0</v>
      </c>
      <c r="AH35" s="19" t="s">
        <v>60</v>
      </c>
      <c r="AI35" s="19" t="s">
        <v>61</v>
      </c>
      <c r="AJ35" s="19"/>
      <c r="AK35" s="19"/>
      <c r="AL35" s="19"/>
      <c r="AM35" s="87"/>
      <c r="AN35" s="152">
        <f t="shared" si="4"/>
        <v>0</v>
      </c>
      <c r="AO35" s="152">
        <f t="shared" si="4"/>
        <v>0</v>
      </c>
      <c r="AP35" s="153">
        <f t="shared" si="4"/>
        <v>0</v>
      </c>
      <c r="AQ35" s="247">
        <f t="shared" si="11"/>
        <v>0</v>
      </c>
      <c r="AR35" s="38"/>
      <c r="AS35" s="9"/>
      <c r="AT35" s="26" t="s">
        <v>58</v>
      </c>
      <c r="AU35" s="19" t="s">
        <v>59</v>
      </c>
      <c r="AV35" s="127">
        <f>IF(years&gt;3,+AG35,0)</f>
        <v>0</v>
      </c>
      <c r="AW35" s="19" t="s">
        <v>60</v>
      </c>
      <c r="AX35" s="19" t="s">
        <v>61</v>
      </c>
      <c r="AY35" s="19"/>
      <c r="AZ35" s="19"/>
      <c r="BA35" s="19"/>
      <c r="BB35" s="87"/>
      <c r="BC35" s="152">
        <f t="shared" si="5"/>
        <v>0</v>
      </c>
      <c r="BD35" s="152">
        <f t="shared" si="5"/>
        <v>0</v>
      </c>
      <c r="BE35" s="153">
        <f t="shared" si="5"/>
        <v>0</v>
      </c>
      <c r="BF35" s="247">
        <f t="shared" si="6"/>
        <v>0</v>
      </c>
      <c r="BG35" s="38"/>
      <c r="BH35" s="9"/>
      <c r="BI35" s="26" t="s">
        <v>58</v>
      </c>
      <c r="BJ35" s="19" t="s">
        <v>59</v>
      </c>
      <c r="BK35" s="127">
        <f>IF(years&gt;4,+AV35,0)</f>
        <v>0</v>
      </c>
      <c r="BL35" s="19" t="s">
        <v>60</v>
      </c>
      <c r="BM35" s="19" t="s">
        <v>61</v>
      </c>
      <c r="BN35" s="19"/>
      <c r="BO35" s="19"/>
      <c r="BP35" s="19"/>
      <c r="BQ35" s="87"/>
      <c r="BR35" s="152">
        <f t="shared" si="7"/>
        <v>0</v>
      </c>
      <c r="BS35" s="152">
        <f t="shared" si="7"/>
        <v>0</v>
      </c>
      <c r="BT35" s="153">
        <f t="shared" si="7"/>
        <v>0</v>
      </c>
      <c r="BU35" s="247">
        <f t="shared" si="8"/>
        <v>0</v>
      </c>
      <c r="BV35" s="38"/>
      <c r="BW35" s="9"/>
      <c r="BX35" s="26" t="s">
        <v>58</v>
      </c>
      <c r="BY35" s="19" t="s">
        <v>59</v>
      </c>
      <c r="BZ35" s="132">
        <f>AG35+R35+C35+AV35+BK35</f>
        <v>0</v>
      </c>
      <c r="CA35" s="19" t="s">
        <v>60</v>
      </c>
      <c r="CB35" s="19" t="s">
        <v>61</v>
      </c>
      <c r="CC35" s="19"/>
      <c r="CD35" s="19"/>
      <c r="CE35" s="19"/>
      <c r="CF35" s="87"/>
      <c r="CG35" s="155">
        <f t="shared" si="9"/>
        <v>0</v>
      </c>
      <c r="CH35" s="155">
        <f t="shared" si="9"/>
        <v>0</v>
      </c>
      <c r="CI35" s="155">
        <f t="shared" si="9"/>
        <v>0</v>
      </c>
      <c r="CJ35" s="248">
        <f t="shared" si="10"/>
        <v>0</v>
      </c>
      <c r="CK35" s="38"/>
      <c r="CL35" s="9"/>
    </row>
    <row r="36" spans="1:90" ht="12" customHeight="1" x14ac:dyDescent="0.3">
      <c r="A36" s="26" t="s">
        <v>62</v>
      </c>
      <c r="B36" s="19" t="s">
        <v>59</v>
      </c>
      <c r="C36" s="114">
        <v>0</v>
      </c>
      <c r="D36" s="19" t="s">
        <v>60</v>
      </c>
      <c r="E36" s="19" t="s">
        <v>64</v>
      </c>
      <c r="F36" s="19"/>
      <c r="G36" s="19"/>
      <c r="H36" s="19"/>
      <c r="I36" s="87"/>
      <c r="J36" s="150">
        <f>SUM(J30:J35)</f>
        <v>0</v>
      </c>
      <c r="K36" s="150">
        <f>SUM(K30:K35)</f>
        <v>0</v>
      </c>
      <c r="L36" s="150">
        <f>SUM(L30:L35)</f>
        <v>1</v>
      </c>
      <c r="M36" s="248">
        <f>SUM(M30:M35)</f>
        <v>10875</v>
      </c>
      <c r="N36" s="176"/>
      <c r="O36" s="9"/>
      <c r="P36" s="26" t="s">
        <v>62</v>
      </c>
      <c r="Q36" s="19" t="s">
        <v>59</v>
      </c>
      <c r="R36" s="127">
        <f>IF(years&gt;1,+C36,0)</f>
        <v>0</v>
      </c>
      <c r="S36" s="19" t="s">
        <v>60</v>
      </c>
      <c r="T36" s="19" t="s">
        <v>64</v>
      </c>
      <c r="U36" s="19"/>
      <c r="V36" s="19"/>
      <c r="W36" s="19"/>
      <c r="X36" s="87"/>
      <c r="Y36" s="150">
        <f>SUM(Y30:Y35)</f>
        <v>0</v>
      </c>
      <c r="Z36" s="150">
        <f>SUM(Z30:Z35)</f>
        <v>0</v>
      </c>
      <c r="AA36" s="150">
        <f>SUM(AA30:AA35)</f>
        <v>1</v>
      </c>
      <c r="AB36" s="248">
        <f>SUM(AB30:AB35)</f>
        <v>11201</v>
      </c>
      <c r="AC36" s="38"/>
      <c r="AD36" s="9"/>
      <c r="AE36" s="26" t="s">
        <v>62</v>
      </c>
      <c r="AF36" s="19" t="s">
        <v>59</v>
      </c>
      <c r="AG36" s="127">
        <f>IF(years&gt;2,+R36,0)</f>
        <v>0</v>
      </c>
      <c r="AH36" s="19" t="s">
        <v>60</v>
      </c>
      <c r="AI36" s="19" t="s">
        <v>64</v>
      </c>
      <c r="AJ36" s="19"/>
      <c r="AK36" s="19"/>
      <c r="AL36" s="19"/>
      <c r="AM36" s="87"/>
      <c r="AN36" s="150">
        <f>SUM(AN30:AN35)</f>
        <v>0</v>
      </c>
      <c r="AO36" s="150">
        <f>SUM(AO30:AO35)</f>
        <v>0</v>
      </c>
      <c r="AP36" s="150">
        <f>SUM(AP30:AP35)</f>
        <v>1</v>
      </c>
      <c r="AQ36" s="248">
        <f>SUM(AQ30:AQ35)</f>
        <v>11537</v>
      </c>
      <c r="AR36" s="38"/>
      <c r="AS36" s="9"/>
      <c r="AT36" s="26" t="s">
        <v>62</v>
      </c>
      <c r="AU36" s="19" t="s">
        <v>59</v>
      </c>
      <c r="AV36" s="127">
        <f>IF(years&gt;3,+AG36,0)</f>
        <v>0</v>
      </c>
      <c r="AW36" s="19" t="s">
        <v>60</v>
      </c>
      <c r="AX36" s="19" t="s">
        <v>64</v>
      </c>
      <c r="AY36" s="19"/>
      <c r="AZ36" s="19"/>
      <c r="BA36" s="19"/>
      <c r="BB36" s="87"/>
      <c r="BC36" s="150">
        <f>SUM(BC30:BC35)</f>
        <v>0</v>
      </c>
      <c r="BD36" s="150">
        <f>SUM(BD30:BD35)</f>
        <v>0</v>
      </c>
      <c r="BE36" s="150">
        <f>SUM(BE30:BE35)</f>
        <v>1</v>
      </c>
      <c r="BF36" s="248">
        <f>SUM(BF30:BF35)</f>
        <v>11883</v>
      </c>
      <c r="BG36" s="38"/>
      <c r="BH36" s="9"/>
      <c r="BI36" s="26" t="s">
        <v>62</v>
      </c>
      <c r="BJ36" s="19" t="s">
        <v>59</v>
      </c>
      <c r="BK36" s="127">
        <f>IF(years&gt;4,+AV36,0)</f>
        <v>0</v>
      </c>
      <c r="BL36" s="19" t="s">
        <v>60</v>
      </c>
      <c r="BM36" s="19" t="s">
        <v>64</v>
      </c>
      <c r="BN36" s="19"/>
      <c r="BO36" s="19"/>
      <c r="BP36" s="19"/>
      <c r="BQ36" s="87"/>
      <c r="BR36" s="150">
        <f>SUM(BR30:BR35)</f>
        <v>0</v>
      </c>
      <c r="BS36" s="150">
        <f>SUM(BS30:BS35)</f>
        <v>0</v>
      </c>
      <c r="BT36" s="150">
        <f>SUM(BT30:BT35)</f>
        <v>0</v>
      </c>
      <c r="BU36" s="248">
        <f>SUM(BU30:BU35)</f>
        <v>0</v>
      </c>
      <c r="BV36" s="38"/>
      <c r="BW36" s="9"/>
      <c r="BX36" s="26" t="s">
        <v>62</v>
      </c>
      <c r="BY36" s="19" t="s">
        <v>59</v>
      </c>
      <c r="BZ36" s="133">
        <f>AG36+R36+C36+AV36+BK36</f>
        <v>0</v>
      </c>
      <c r="CA36" s="19" t="s">
        <v>60</v>
      </c>
      <c r="CB36" s="19" t="s">
        <v>64</v>
      </c>
      <c r="CC36" s="19"/>
      <c r="CD36" s="19"/>
      <c r="CE36" s="19"/>
      <c r="CF36" s="87"/>
      <c r="CG36" s="155">
        <f>SUM(CG30:CG35)</f>
        <v>0</v>
      </c>
      <c r="CH36" s="155">
        <f>SUM(CH30:CH35)</f>
        <v>0</v>
      </c>
      <c r="CI36" s="155">
        <f>SUM(CI30:CI35)</f>
        <v>4</v>
      </c>
      <c r="CJ36" s="248">
        <f t="shared" si="10"/>
        <v>45496</v>
      </c>
      <c r="CK36" s="38"/>
      <c r="CL36" s="9"/>
    </row>
    <row r="37" spans="1:90" ht="12" customHeight="1" x14ac:dyDescent="0.3">
      <c r="A37" s="26" t="s">
        <v>65</v>
      </c>
      <c r="B37" s="19"/>
      <c r="C37" s="112"/>
      <c r="D37" s="19"/>
      <c r="E37" s="19"/>
      <c r="F37" s="19"/>
      <c r="G37" s="19"/>
      <c r="H37" s="19"/>
      <c r="I37" s="87"/>
      <c r="J37" s="151"/>
      <c r="K37" s="151"/>
      <c r="L37" s="151"/>
      <c r="M37" s="249"/>
      <c r="N37" s="177"/>
      <c r="O37" s="9"/>
      <c r="P37" s="18" t="s">
        <v>65</v>
      </c>
      <c r="Q37" s="19"/>
      <c r="R37" s="39"/>
      <c r="S37" s="19"/>
      <c r="T37" s="19"/>
      <c r="U37" s="19"/>
      <c r="V37" s="19"/>
      <c r="W37" s="19"/>
      <c r="X37" s="87"/>
      <c r="Y37" s="151"/>
      <c r="Z37" s="151"/>
      <c r="AA37" s="151"/>
      <c r="AB37" s="249"/>
      <c r="AC37" s="40"/>
      <c r="AD37" s="9"/>
      <c r="AE37" s="18" t="s">
        <v>65</v>
      </c>
      <c r="AF37" s="19"/>
      <c r="AG37" s="39"/>
      <c r="AH37" s="19"/>
      <c r="AI37" s="19"/>
      <c r="AJ37" s="19"/>
      <c r="AK37" s="19"/>
      <c r="AL37" s="19"/>
      <c r="AM37" s="87"/>
      <c r="AN37" s="151"/>
      <c r="AO37" s="151"/>
      <c r="AP37" s="151"/>
      <c r="AQ37" s="249"/>
      <c r="AR37" s="40"/>
      <c r="AS37" s="9"/>
      <c r="AT37" s="18" t="s">
        <v>65</v>
      </c>
      <c r="AU37" s="19"/>
      <c r="AV37" s="39"/>
      <c r="AW37" s="19"/>
      <c r="AX37" s="19"/>
      <c r="AY37" s="19"/>
      <c r="AZ37" s="19"/>
      <c r="BA37" s="19"/>
      <c r="BB37" s="87"/>
      <c r="BC37" s="151"/>
      <c r="BD37" s="151"/>
      <c r="BE37" s="151"/>
      <c r="BF37" s="249"/>
      <c r="BG37" s="40"/>
      <c r="BH37" s="9"/>
      <c r="BI37" s="18" t="s">
        <v>65</v>
      </c>
      <c r="BJ37" s="19"/>
      <c r="BK37" s="39"/>
      <c r="BL37" s="19"/>
      <c r="BM37" s="19"/>
      <c r="BN37" s="19"/>
      <c r="BO37" s="19"/>
      <c r="BP37" s="19"/>
      <c r="BQ37" s="87"/>
      <c r="BR37" s="151"/>
      <c r="BS37" s="151"/>
      <c r="BT37" s="151"/>
      <c r="BU37" s="249"/>
      <c r="BV37" s="40"/>
      <c r="BW37" s="9"/>
      <c r="BX37" s="18" t="s">
        <v>65</v>
      </c>
      <c r="BY37" s="19"/>
      <c r="BZ37" s="39"/>
      <c r="CA37" s="19"/>
      <c r="CB37" s="19"/>
      <c r="CC37" s="19"/>
      <c r="CD37" s="19"/>
      <c r="CE37" s="19"/>
      <c r="CF37" s="87"/>
      <c r="CG37" s="156"/>
      <c r="CH37" s="156"/>
      <c r="CI37" s="156"/>
      <c r="CJ37" s="249"/>
      <c r="CK37" s="40"/>
      <c r="CL37" s="9"/>
    </row>
    <row r="38" spans="1:90" ht="12" customHeight="1" x14ac:dyDescent="0.3">
      <c r="A38" s="26" t="s">
        <v>53</v>
      </c>
      <c r="B38" s="19" t="s">
        <v>59</v>
      </c>
      <c r="C38" s="114">
        <v>0</v>
      </c>
      <c r="D38" s="19" t="s">
        <v>60</v>
      </c>
      <c r="E38" s="19" t="s">
        <v>66</v>
      </c>
      <c r="F38" s="19"/>
      <c r="G38" s="19"/>
      <c r="H38" s="19"/>
      <c r="J38" s="149">
        <v>0</v>
      </c>
      <c r="K38" s="149">
        <v>0</v>
      </c>
      <c r="L38" s="149">
        <v>0</v>
      </c>
      <c r="M38" s="247">
        <v>0</v>
      </c>
      <c r="N38" s="176"/>
      <c r="O38" s="9"/>
      <c r="P38" s="26" t="s">
        <v>53</v>
      </c>
      <c r="Q38" s="19" t="s">
        <v>59</v>
      </c>
      <c r="R38" s="127">
        <f>IF(years&gt;1,+C38,0)</f>
        <v>0</v>
      </c>
      <c r="S38" s="19" t="s">
        <v>60</v>
      </c>
      <c r="T38" s="19" t="s">
        <v>66</v>
      </c>
      <c r="U38" s="19"/>
      <c r="V38" s="19"/>
      <c r="W38" s="19"/>
      <c r="Y38" s="152">
        <f>IF(years&gt;1,+J38,0)</f>
        <v>0</v>
      </c>
      <c r="Z38" s="152">
        <f>IF(years&gt;1,+K38,0)</f>
        <v>0</v>
      </c>
      <c r="AA38" s="153">
        <f>IF(years&gt;1,+L38,0)</f>
        <v>0</v>
      </c>
      <c r="AB38" s="247">
        <f t="shared" ref="AB38:AB43" si="12">ROUND(IF(years&gt;1,M38*1.03,0),0)</f>
        <v>0</v>
      </c>
      <c r="AC38" s="38"/>
      <c r="AD38" s="9"/>
      <c r="AE38" s="26" t="s">
        <v>53</v>
      </c>
      <c r="AF38" s="19" t="s">
        <v>59</v>
      </c>
      <c r="AG38" s="127">
        <f>IF(years&gt;2,+R38,0)</f>
        <v>0</v>
      </c>
      <c r="AH38" s="19" t="s">
        <v>60</v>
      </c>
      <c r="AI38" s="19" t="s">
        <v>66</v>
      </c>
      <c r="AJ38" s="19"/>
      <c r="AK38" s="19"/>
      <c r="AL38" s="19"/>
      <c r="AN38" s="152">
        <f>IF(years&gt;2,+Y38,0)</f>
        <v>0</v>
      </c>
      <c r="AO38" s="152">
        <f>IF(years&gt;2,+Z38,0)</f>
        <v>0</v>
      </c>
      <c r="AP38" s="153">
        <f>IF(years&gt;2,+AA38,0)</f>
        <v>0</v>
      </c>
      <c r="AQ38" s="247">
        <f t="shared" ref="AQ38:AQ43" si="13">ROUND(IF(years&gt;2,AB38*1.03,0),0)</f>
        <v>0</v>
      </c>
      <c r="AR38" s="38"/>
      <c r="AS38" s="9"/>
      <c r="AT38" s="26" t="s">
        <v>53</v>
      </c>
      <c r="AU38" s="19" t="s">
        <v>59</v>
      </c>
      <c r="AV38" s="127">
        <f>IF(years&gt;3,+AG38,0)</f>
        <v>0</v>
      </c>
      <c r="AW38" s="19" t="s">
        <v>60</v>
      </c>
      <c r="AX38" s="19" t="s">
        <v>66</v>
      </c>
      <c r="AY38" s="19"/>
      <c r="AZ38" s="19"/>
      <c r="BA38" s="19"/>
      <c r="BC38" s="152">
        <f>IF(years&gt;3,+AN38,0)</f>
        <v>0</v>
      </c>
      <c r="BD38" s="152">
        <f>IF(years&gt;3,+AO38,0)</f>
        <v>0</v>
      </c>
      <c r="BE38" s="153">
        <f>IF(years&gt;3,+AP38,0)</f>
        <v>0</v>
      </c>
      <c r="BF38" s="247">
        <f t="shared" ref="BF38:BF43" si="14">ROUND(IF(years&gt;3,AQ38*1.03,0),0)</f>
        <v>0</v>
      </c>
      <c r="BG38" s="38"/>
      <c r="BH38" s="9"/>
      <c r="BI38" s="26" t="s">
        <v>53</v>
      </c>
      <c r="BJ38" s="19" t="s">
        <v>59</v>
      </c>
      <c r="BK38" s="127">
        <f>IF(years&gt;4,+AV38,0)</f>
        <v>0</v>
      </c>
      <c r="BL38" s="19" t="s">
        <v>60</v>
      </c>
      <c r="BM38" s="19" t="s">
        <v>66</v>
      </c>
      <c r="BN38" s="19"/>
      <c r="BO38" s="19"/>
      <c r="BP38" s="19"/>
      <c r="BR38" s="152">
        <f>IF(years&gt;4,+BC38,0)</f>
        <v>0</v>
      </c>
      <c r="BS38" s="152">
        <f>IF(years&gt;4,+BD38,0)</f>
        <v>0</v>
      </c>
      <c r="BT38" s="153">
        <f>IF(years&gt;4,+BE38,0)</f>
        <v>0</v>
      </c>
      <c r="BU38" s="247">
        <f t="shared" ref="BU38:BU43" si="15">ROUND(IF(years&gt;4,BF38*1.03,0),0)</f>
        <v>0</v>
      </c>
      <c r="BV38" s="38"/>
      <c r="BW38" s="9"/>
      <c r="BX38" s="26" t="s">
        <v>53</v>
      </c>
      <c r="BY38" s="19" t="s">
        <v>59</v>
      </c>
      <c r="BZ38" s="132">
        <f t="shared" ref="BZ38:BZ43" si="16">AG38+R38+C38+AV38+BK38</f>
        <v>0</v>
      </c>
      <c r="CA38" s="19" t="s">
        <v>60</v>
      </c>
      <c r="CB38" s="19" t="s">
        <v>66</v>
      </c>
      <c r="CC38" s="19"/>
      <c r="CD38" s="19"/>
      <c r="CE38" s="19"/>
      <c r="CG38" s="155">
        <f>AN38+Y38+J38+BC38+BR38</f>
        <v>0</v>
      </c>
      <c r="CH38" s="155">
        <f>AO38+Z38+K38+BD38+BS38</f>
        <v>0</v>
      </c>
      <c r="CI38" s="155">
        <f>AP38+AA38+L38+BE38+BT38</f>
        <v>0</v>
      </c>
      <c r="CJ38" s="248">
        <f t="shared" ref="CJ38:CJ46" si="17">AQ38+AB38+M38+BF38+BU38</f>
        <v>0</v>
      </c>
      <c r="CK38" s="38"/>
      <c r="CL38" s="9"/>
    </row>
    <row r="39" spans="1:90" ht="12" customHeight="1" x14ac:dyDescent="0.3">
      <c r="A39" s="26" t="s">
        <v>54</v>
      </c>
      <c r="B39" s="19" t="s">
        <v>59</v>
      </c>
      <c r="C39" s="114">
        <v>0</v>
      </c>
      <c r="D39" s="19" t="s">
        <v>60</v>
      </c>
      <c r="E39" s="19" t="s">
        <v>67</v>
      </c>
      <c r="F39" s="19"/>
      <c r="G39" s="19"/>
      <c r="H39" s="19"/>
      <c r="I39" s="41"/>
      <c r="J39" s="41"/>
      <c r="K39" s="41"/>
      <c r="L39" s="82"/>
      <c r="M39" s="247">
        <v>0</v>
      </c>
      <c r="N39" s="176"/>
      <c r="O39" s="9"/>
      <c r="P39" s="26" t="s">
        <v>54</v>
      </c>
      <c r="Q39" s="19" t="s">
        <v>59</v>
      </c>
      <c r="R39" s="127">
        <f>IF(years&gt;1,+C39,0)</f>
        <v>0</v>
      </c>
      <c r="S39" s="19" t="s">
        <v>60</v>
      </c>
      <c r="T39" s="19" t="s">
        <v>67</v>
      </c>
      <c r="U39" s="19"/>
      <c r="V39" s="19"/>
      <c r="W39" s="19"/>
      <c r="X39" s="41"/>
      <c r="Y39" s="41"/>
      <c r="Z39" s="94"/>
      <c r="AA39" s="95"/>
      <c r="AB39" s="247">
        <f t="shared" si="12"/>
        <v>0</v>
      </c>
      <c r="AC39" s="38"/>
      <c r="AD39" s="9"/>
      <c r="AE39" s="26" t="s">
        <v>54</v>
      </c>
      <c r="AF39" s="19" t="s">
        <v>59</v>
      </c>
      <c r="AG39" s="127">
        <f>IF(years&gt;2,+R39,0)</f>
        <v>0</v>
      </c>
      <c r="AH39" s="19" t="s">
        <v>60</v>
      </c>
      <c r="AI39" s="19" t="s">
        <v>67</v>
      </c>
      <c r="AJ39" s="19"/>
      <c r="AK39" s="19"/>
      <c r="AL39" s="19"/>
      <c r="AM39" s="41"/>
      <c r="AN39" s="41"/>
      <c r="AO39" s="94"/>
      <c r="AP39" s="95"/>
      <c r="AQ39" s="247">
        <f t="shared" si="13"/>
        <v>0</v>
      </c>
      <c r="AR39" s="38"/>
      <c r="AS39" s="9"/>
      <c r="AT39" s="26" t="s">
        <v>54</v>
      </c>
      <c r="AU39" s="19" t="s">
        <v>59</v>
      </c>
      <c r="AV39" s="127">
        <f>IF(years&gt;3,+AG39,0)</f>
        <v>0</v>
      </c>
      <c r="AW39" s="19" t="s">
        <v>60</v>
      </c>
      <c r="AX39" s="19" t="s">
        <v>67</v>
      </c>
      <c r="AY39" s="19"/>
      <c r="AZ39" s="19"/>
      <c r="BA39" s="19"/>
      <c r="BB39" s="41"/>
      <c r="BC39" s="41"/>
      <c r="BD39" s="94"/>
      <c r="BE39" s="95"/>
      <c r="BF39" s="247">
        <f t="shared" si="14"/>
        <v>0</v>
      </c>
      <c r="BG39" s="38"/>
      <c r="BH39" s="9"/>
      <c r="BI39" s="26" t="s">
        <v>54</v>
      </c>
      <c r="BJ39" s="19" t="s">
        <v>59</v>
      </c>
      <c r="BK39" s="127">
        <f>IF(years&gt;4,+AV39,0)</f>
        <v>0</v>
      </c>
      <c r="BL39" s="19" t="s">
        <v>60</v>
      </c>
      <c r="BM39" s="19" t="s">
        <v>67</v>
      </c>
      <c r="BN39" s="19"/>
      <c r="BO39" s="19"/>
      <c r="BP39" s="19"/>
      <c r="BQ39" s="41"/>
      <c r="BR39" s="41"/>
      <c r="BS39" s="94"/>
      <c r="BT39" s="95"/>
      <c r="BU39" s="247">
        <f t="shared" si="15"/>
        <v>0</v>
      </c>
      <c r="BV39" s="38"/>
      <c r="BW39" s="9"/>
      <c r="BX39" s="26" t="s">
        <v>54</v>
      </c>
      <c r="BY39" s="19" t="s">
        <v>59</v>
      </c>
      <c r="BZ39" s="132">
        <f t="shared" si="16"/>
        <v>0</v>
      </c>
      <c r="CA39" s="19" t="s">
        <v>60</v>
      </c>
      <c r="CB39" s="19" t="s">
        <v>67</v>
      </c>
      <c r="CC39" s="19"/>
      <c r="CD39" s="19"/>
      <c r="CE39" s="19"/>
      <c r="CF39" s="41"/>
      <c r="CG39" s="41"/>
      <c r="CH39" s="94"/>
      <c r="CI39" s="95"/>
      <c r="CJ39" s="248">
        <f t="shared" si="17"/>
        <v>0</v>
      </c>
      <c r="CK39" s="38"/>
      <c r="CL39" s="9"/>
    </row>
    <row r="40" spans="1:90" ht="12" customHeight="1" x14ac:dyDescent="0.3">
      <c r="A40" s="26" t="s">
        <v>55</v>
      </c>
      <c r="B40" s="19" t="s">
        <v>59</v>
      </c>
      <c r="C40" s="114">
        <v>1</v>
      </c>
      <c r="D40" s="19" t="s">
        <v>60</v>
      </c>
      <c r="E40" s="19" t="s">
        <v>68</v>
      </c>
      <c r="F40" s="19"/>
      <c r="G40" s="19"/>
      <c r="H40" s="19"/>
      <c r="I40" s="22"/>
      <c r="J40" s="22"/>
      <c r="K40" s="22"/>
      <c r="L40" s="82"/>
      <c r="M40" s="247">
        <v>26400</v>
      </c>
      <c r="N40" s="176"/>
      <c r="O40" s="9"/>
      <c r="P40" s="26" t="s">
        <v>55</v>
      </c>
      <c r="Q40" s="19" t="s">
        <v>59</v>
      </c>
      <c r="R40" s="127">
        <f>IF(years&gt;1,+grad1,0)</f>
        <v>1</v>
      </c>
      <c r="S40" s="19" t="s">
        <v>60</v>
      </c>
      <c r="T40" s="19" t="s">
        <v>68</v>
      </c>
      <c r="U40" s="19"/>
      <c r="V40" s="19"/>
      <c r="W40" s="19"/>
      <c r="X40" s="22"/>
      <c r="Y40" s="22"/>
      <c r="Z40" s="96"/>
      <c r="AA40" s="95"/>
      <c r="AB40" s="247">
        <f t="shared" si="12"/>
        <v>27192</v>
      </c>
      <c r="AC40" s="38"/>
      <c r="AD40" s="9"/>
      <c r="AE40" s="26" t="s">
        <v>55</v>
      </c>
      <c r="AF40" s="19" t="s">
        <v>59</v>
      </c>
      <c r="AG40" s="127">
        <v>2</v>
      </c>
      <c r="AH40" s="19" t="s">
        <v>60</v>
      </c>
      <c r="AI40" s="19" t="s">
        <v>68</v>
      </c>
      <c r="AJ40" s="19"/>
      <c r="AK40" s="19"/>
      <c r="AL40" s="19"/>
      <c r="AM40" s="22"/>
      <c r="AN40" s="22"/>
      <c r="AO40" s="96"/>
      <c r="AP40" s="95"/>
      <c r="AQ40" s="247">
        <f>2*ROUND(IF(years&gt;2,AB40*1.03,0),0)</f>
        <v>56016</v>
      </c>
      <c r="AR40" s="38"/>
      <c r="AS40" s="9"/>
      <c r="AT40" s="26" t="s">
        <v>55</v>
      </c>
      <c r="AU40" s="19" t="s">
        <v>59</v>
      </c>
      <c r="AV40" s="127">
        <v>2</v>
      </c>
      <c r="AW40" s="19" t="s">
        <v>60</v>
      </c>
      <c r="AX40" s="19" t="s">
        <v>68</v>
      </c>
      <c r="AY40" s="19"/>
      <c r="AZ40" s="19"/>
      <c r="BA40" s="19"/>
      <c r="BB40" s="22"/>
      <c r="BC40" s="22"/>
      <c r="BD40" s="96"/>
      <c r="BE40" s="95"/>
      <c r="BF40" s="247">
        <f t="shared" si="14"/>
        <v>57696</v>
      </c>
      <c r="BG40" s="38"/>
      <c r="BH40" s="9"/>
      <c r="BI40" s="26" t="s">
        <v>55</v>
      </c>
      <c r="BJ40" s="19" t="s">
        <v>59</v>
      </c>
      <c r="BK40" s="127">
        <f>IF(years&gt;4,+grad1,0)</f>
        <v>0</v>
      </c>
      <c r="BL40" s="19" t="s">
        <v>60</v>
      </c>
      <c r="BM40" s="19" t="s">
        <v>68</v>
      </c>
      <c r="BN40" s="19"/>
      <c r="BO40" s="19"/>
      <c r="BP40" s="19"/>
      <c r="BQ40" s="22"/>
      <c r="BR40" s="22"/>
      <c r="BS40" s="96"/>
      <c r="BT40" s="95"/>
      <c r="BU40" s="247">
        <f t="shared" si="15"/>
        <v>0</v>
      </c>
      <c r="BV40" s="38"/>
      <c r="BW40" s="9"/>
      <c r="BX40" s="26" t="s">
        <v>55</v>
      </c>
      <c r="BY40" s="19" t="s">
        <v>59</v>
      </c>
      <c r="BZ40" s="132">
        <f t="shared" si="16"/>
        <v>6</v>
      </c>
      <c r="CA40" s="19" t="s">
        <v>60</v>
      </c>
      <c r="CB40" s="19" t="s">
        <v>68</v>
      </c>
      <c r="CC40" s="19"/>
      <c r="CD40" s="19"/>
      <c r="CE40" s="19"/>
      <c r="CF40" s="22"/>
      <c r="CG40" s="22"/>
      <c r="CH40" s="96"/>
      <c r="CI40" s="95"/>
      <c r="CJ40" s="248">
        <f t="shared" si="17"/>
        <v>167304</v>
      </c>
      <c r="CK40" s="38"/>
      <c r="CL40" s="9"/>
    </row>
    <row r="41" spans="1:90" ht="12" customHeight="1" x14ac:dyDescent="0.3">
      <c r="A41" s="26" t="s">
        <v>56</v>
      </c>
      <c r="B41" s="19" t="s">
        <v>59</v>
      </c>
      <c r="C41" s="114">
        <v>0</v>
      </c>
      <c r="D41" s="19" t="s">
        <v>60</v>
      </c>
      <c r="E41" s="19" t="s">
        <v>69</v>
      </c>
      <c r="F41" s="19"/>
      <c r="G41" s="19"/>
      <c r="H41" s="19"/>
      <c r="I41" s="22"/>
      <c r="J41" s="22"/>
      <c r="K41" s="22"/>
      <c r="L41" s="82"/>
      <c r="M41" s="247">
        <v>7200</v>
      </c>
      <c r="N41" s="176"/>
      <c r="O41" s="9"/>
      <c r="P41" s="26" t="s">
        <v>56</v>
      </c>
      <c r="Q41" s="19" t="s">
        <v>59</v>
      </c>
      <c r="R41" s="127">
        <f>IF(years&gt;1,+C41,0)</f>
        <v>0</v>
      </c>
      <c r="S41" s="19" t="s">
        <v>60</v>
      </c>
      <c r="T41" s="19" t="s">
        <v>69</v>
      </c>
      <c r="U41" s="19"/>
      <c r="V41" s="19"/>
      <c r="W41" s="19"/>
      <c r="X41" s="22"/>
      <c r="Y41" s="22"/>
      <c r="Z41" s="96"/>
      <c r="AA41" s="95"/>
      <c r="AB41" s="247">
        <f t="shared" si="12"/>
        <v>7416</v>
      </c>
      <c r="AC41" s="38"/>
      <c r="AD41" s="9"/>
      <c r="AE41" s="26" t="s">
        <v>56</v>
      </c>
      <c r="AF41" s="19" t="s">
        <v>59</v>
      </c>
      <c r="AG41" s="127">
        <f>IF(years&gt;2,+R41,0)</f>
        <v>0</v>
      </c>
      <c r="AH41" s="19" t="s">
        <v>60</v>
      </c>
      <c r="AI41" s="19" t="s">
        <v>69</v>
      </c>
      <c r="AJ41" s="19"/>
      <c r="AK41" s="19"/>
      <c r="AL41" s="19"/>
      <c r="AM41" s="22"/>
      <c r="AN41" s="22"/>
      <c r="AO41" s="96"/>
      <c r="AP41" s="95"/>
      <c r="AQ41" s="247">
        <f t="shared" si="13"/>
        <v>7638</v>
      </c>
      <c r="AR41" s="38"/>
      <c r="AS41" s="9"/>
      <c r="AT41" s="26" t="s">
        <v>56</v>
      </c>
      <c r="AU41" s="19" t="s">
        <v>59</v>
      </c>
      <c r="AV41" s="127">
        <f>IF(years&gt;3,+AG41,0)</f>
        <v>0</v>
      </c>
      <c r="AW41" s="19" t="s">
        <v>60</v>
      </c>
      <c r="AX41" s="19" t="s">
        <v>69</v>
      </c>
      <c r="AY41" s="19"/>
      <c r="AZ41" s="19"/>
      <c r="BA41" s="19"/>
      <c r="BB41" s="22"/>
      <c r="BC41" s="22"/>
      <c r="BD41" s="96"/>
      <c r="BE41" s="95"/>
      <c r="BF41" s="247">
        <f t="shared" si="14"/>
        <v>7867</v>
      </c>
      <c r="BG41" s="38"/>
      <c r="BH41" s="9"/>
      <c r="BI41" s="26" t="s">
        <v>56</v>
      </c>
      <c r="BJ41" s="19" t="s">
        <v>59</v>
      </c>
      <c r="BK41" s="127">
        <f>IF(years&gt;4,+AV41,0)</f>
        <v>0</v>
      </c>
      <c r="BL41" s="19" t="s">
        <v>60</v>
      </c>
      <c r="BM41" s="19" t="s">
        <v>69</v>
      </c>
      <c r="BN41" s="19"/>
      <c r="BO41" s="19"/>
      <c r="BP41" s="19"/>
      <c r="BQ41" s="22"/>
      <c r="BR41" s="22"/>
      <c r="BS41" s="96"/>
      <c r="BT41" s="95"/>
      <c r="BU41" s="247">
        <f t="shared" si="15"/>
        <v>0</v>
      </c>
      <c r="BV41" s="38"/>
      <c r="BW41" s="9"/>
      <c r="BX41" s="26" t="s">
        <v>56</v>
      </c>
      <c r="BY41" s="19" t="s">
        <v>59</v>
      </c>
      <c r="BZ41" s="132">
        <f t="shared" si="16"/>
        <v>0</v>
      </c>
      <c r="CA41" s="19" t="s">
        <v>60</v>
      </c>
      <c r="CB41" s="19" t="s">
        <v>69</v>
      </c>
      <c r="CC41" s="19"/>
      <c r="CD41" s="19"/>
      <c r="CE41" s="19"/>
      <c r="CF41" s="22"/>
      <c r="CG41" s="22"/>
      <c r="CH41" s="96"/>
      <c r="CI41" s="95"/>
      <c r="CJ41" s="248">
        <f t="shared" si="17"/>
        <v>30121</v>
      </c>
      <c r="CK41" s="38"/>
      <c r="CL41" s="9"/>
    </row>
    <row r="42" spans="1:90" ht="12" customHeight="1" x14ac:dyDescent="0.3">
      <c r="A42" s="26" t="s">
        <v>57</v>
      </c>
      <c r="B42" s="19" t="s">
        <v>59</v>
      </c>
      <c r="C42" s="114">
        <v>0</v>
      </c>
      <c r="D42" s="19" t="s">
        <v>60</v>
      </c>
      <c r="E42" s="79" t="s">
        <v>70</v>
      </c>
      <c r="F42" s="19"/>
      <c r="G42" s="19"/>
      <c r="H42" s="19"/>
      <c r="I42" s="22"/>
      <c r="J42" s="22"/>
      <c r="K42" s="22"/>
      <c r="L42" s="82"/>
      <c r="M42" s="247">
        <v>0</v>
      </c>
      <c r="N42" s="176"/>
      <c r="O42" s="9"/>
      <c r="P42" s="26" t="s">
        <v>57</v>
      </c>
      <c r="Q42" s="19" t="s">
        <v>59</v>
      </c>
      <c r="R42" s="127">
        <f>IF(years&gt;1,+C42,0)</f>
        <v>0</v>
      </c>
      <c r="S42" s="19" t="s">
        <v>60</v>
      </c>
      <c r="T42" s="79" t="s">
        <v>70</v>
      </c>
      <c r="U42" s="19"/>
      <c r="V42" s="19"/>
      <c r="W42" s="19"/>
      <c r="X42" s="22"/>
      <c r="Y42" s="22"/>
      <c r="Z42" s="96"/>
      <c r="AA42" s="95"/>
      <c r="AB42" s="247">
        <f t="shared" si="12"/>
        <v>0</v>
      </c>
      <c r="AC42" s="38"/>
      <c r="AD42" s="9"/>
      <c r="AE42" s="26" t="s">
        <v>57</v>
      </c>
      <c r="AF42" s="19" t="s">
        <v>59</v>
      </c>
      <c r="AG42" s="127">
        <f>IF(years&gt;2,+R42,0)</f>
        <v>0</v>
      </c>
      <c r="AH42" s="19" t="s">
        <v>60</v>
      </c>
      <c r="AI42" s="79" t="s">
        <v>70</v>
      </c>
      <c r="AJ42" s="19"/>
      <c r="AK42" s="19"/>
      <c r="AL42" s="19"/>
      <c r="AM42" s="22"/>
      <c r="AN42" s="22"/>
      <c r="AO42" s="96"/>
      <c r="AP42" s="95"/>
      <c r="AQ42" s="247">
        <f t="shared" si="13"/>
        <v>0</v>
      </c>
      <c r="AR42" s="38"/>
      <c r="AS42" s="9"/>
      <c r="AT42" s="26" t="s">
        <v>57</v>
      </c>
      <c r="AU42" s="19" t="s">
        <v>59</v>
      </c>
      <c r="AV42" s="127">
        <f>IF(years&gt;3,+AG42,0)</f>
        <v>0</v>
      </c>
      <c r="AW42" s="19" t="s">
        <v>60</v>
      </c>
      <c r="AX42" s="79" t="s">
        <v>70</v>
      </c>
      <c r="AY42" s="19"/>
      <c r="AZ42" s="19"/>
      <c r="BA42" s="19"/>
      <c r="BB42" s="22"/>
      <c r="BC42" s="22"/>
      <c r="BD42" s="96"/>
      <c r="BE42" s="95"/>
      <c r="BF42" s="247">
        <f t="shared" si="14"/>
        <v>0</v>
      </c>
      <c r="BG42" s="38"/>
      <c r="BH42" s="9"/>
      <c r="BI42" s="26" t="s">
        <v>57</v>
      </c>
      <c r="BJ42" s="19" t="s">
        <v>59</v>
      </c>
      <c r="BK42" s="127">
        <f>IF(years&gt;4,+AV42,0)</f>
        <v>0</v>
      </c>
      <c r="BL42" s="19" t="s">
        <v>60</v>
      </c>
      <c r="BM42" s="79" t="s">
        <v>70</v>
      </c>
      <c r="BN42" s="19"/>
      <c r="BO42" s="19"/>
      <c r="BP42" s="19"/>
      <c r="BQ42" s="22"/>
      <c r="BR42" s="22"/>
      <c r="BS42" s="96"/>
      <c r="BT42" s="95"/>
      <c r="BU42" s="247">
        <f t="shared" si="15"/>
        <v>0</v>
      </c>
      <c r="BV42" s="38"/>
      <c r="BW42" s="9"/>
      <c r="BX42" s="26" t="s">
        <v>57</v>
      </c>
      <c r="BY42" s="19" t="s">
        <v>59</v>
      </c>
      <c r="BZ42" s="132">
        <f t="shared" si="16"/>
        <v>0</v>
      </c>
      <c r="CA42" s="19" t="s">
        <v>60</v>
      </c>
      <c r="CB42" s="79" t="s">
        <v>70</v>
      </c>
      <c r="CC42" s="19"/>
      <c r="CD42" s="19"/>
      <c r="CE42" s="19"/>
      <c r="CF42" s="22"/>
      <c r="CG42" s="22"/>
      <c r="CH42" s="96"/>
      <c r="CI42" s="95"/>
      <c r="CJ42" s="248">
        <f t="shared" si="17"/>
        <v>0</v>
      </c>
      <c r="CK42" s="38"/>
      <c r="CL42" s="9"/>
    </row>
    <row r="43" spans="1:90" ht="12" customHeight="1" x14ac:dyDescent="0.3">
      <c r="A43" s="26" t="s">
        <v>71</v>
      </c>
      <c r="B43" s="19" t="s">
        <v>59</v>
      </c>
      <c r="C43" s="114">
        <v>0</v>
      </c>
      <c r="D43" s="19" t="s">
        <v>60</v>
      </c>
      <c r="E43" s="19" t="s">
        <v>72</v>
      </c>
      <c r="F43" s="19"/>
      <c r="G43" s="19"/>
      <c r="H43" s="19"/>
      <c r="I43" s="22"/>
      <c r="J43" s="22"/>
      <c r="K43" s="22"/>
      <c r="L43" s="82"/>
      <c r="M43" s="247">
        <v>0</v>
      </c>
      <c r="N43" s="176"/>
      <c r="O43" s="9"/>
      <c r="P43" s="26" t="s">
        <v>58</v>
      </c>
      <c r="Q43" s="19" t="s">
        <v>59</v>
      </c>
      <c r="R43" s="127">
        <f>IF(years&gt;1,+C43,0)</f>
        <v>0</v>
      </c>
      <c r="S43" s="19" t="s">
        <v>60</v>
      </c>
      <c r="T43" s="19" t="s">
        <v>72</v>
      </c>
      <c r="U43" s="19"/>
      <c r="V43" s="19"/>
      <c r="W43" s="19"/>
      <c r="X43" s="22"/>
      <c r="Y43" s="22"/>
      <c r="Z43" s="96"/>
      <c r="AA43" s="95"/>
      <c r="AB43" s="247">
        <f t="shared" si="12"/>
        <v>0</v>
      </c>
      <c r="AC43" s="38"/>
      <c r="AD43" s="9"/>
      <c r="AE43" s="26" t="s">
        <v>58</v>
      </c>
      <c r="AF43" s="19" t="s">
        <v>59</v>
      </c>
      <c r="AG43" s="127">
        <f>IF(years&gt;2,+R43,0)</f>
        <v>0</v>
      </c>
      <c r="AH43" s="19" t="s">
        <v>60</v>
      </c>
      <c r="AI43" s="19" t="s">
        <v>72</v>
      </c>
      <c r="AJ43" s="19"/>
      <c r="AK43" s="19"/>
      <c r="AL43" s="19"/>
      <c r="AM43" s="22"/>
      <c r="AN43" s="22"/>
      <c r="AO43" s="96"/>
      <c r="AP43" s="95"/>
      <c r="AQ43" s="247">
        <f t="shared" si="13"/>
        <v>0</v>
      </c>
      <c r="AR43" s="38"/>
      <c r="AS43" s="9"/>
      <c r="AT43" s="26" t="s">
        <v>58</v>
      </c>
      <c r="AU43" s="19" t="s">
        <v>59</v>
      </c>
      <c r="AV43" s="127">
        <f>IF(years&gt;3,+AG43,0)</f>
        <v>0</v>
      </c>
      <c r="AW43" s="19" t="s">
        <v>60</v>
      </c>
      <c r="AX43" s="19" t="s">
        <v>72</v>
      </c>
      <c r="AY43" s="19"/>
      <c r="AZ43" s="19"/>
      <c r="BA43" s="19"/>
      <c r="BB43" s="22"/>
      <c r="BC43" s="22"/>
      <c r="BD43" s="96"/>
      <c r="BE43" s="95"/>
      <c r="BF43" s="247">
        <f t="shared" si="14"/>
        <v>0</v>
      </c>
      <c r="BG43" s="38"/>
      <c r="BH43" s="9"/>
      <c r="BI43" s="26" t="s">
        <v>58</v>
      </c>
      <c r="BJ43" s="19" t="s">
        <v>59</v>
      </c>
      <c r="BK43" s="127">
        <f>IF(years&gt;4,+AV43,0)</f>
        <v>0</v>
      </c>
      <c r="BL43" s="19" t="s">
        <v>60</v>
      </c>
      <c r="BM43" s="19" t="s">
        <v>72</v>
      </c>
      <c r="BN43" s="19"/>
      <c r="BO43" s="19"/>
      <c r="BP43" s="19"/>
      <c r="BQ43" s="22"/>
      <c r="BR43" s="22"/>
      <c r="BS43" s="96"/>
      <c r="BT43" s="95"/>
      <c r="BU43" s="247">
        <f t="shared" si="15"/>
        <v>0</v>
      </c>
      <c r="BV43" s="38"/>
      <c r="BW43" s="9"/>
      <c r="BX43" s="26" t="s">
        <v>58</v>
      </c>
      <c r="BY43" s="19" t="s">
        <v>59</v>
      </c>
      <c r="BZ43" s="133">
        <f t="shared" si="16"/>
        <v>0</v>
      </c>
      <c r="CA43" s="19" t="s">
        <v>60</v>
      </c>
      <c r="CB43" s="19" t="s">
        <v>72</v>
      </c>
      <c r="CC43" s="19"/>
      <c r="CD43" s="19"/>
      <c r="CE43" s="19"/>
      <c r="CF43" s="22"/>
      <c r="CG43" s="22"/>
      <c r="CH43" s="96"/>
      <c r="CI43" s="95"/>
      <c r="CJ43" s="248">
        <f t="shared" si="17"/>
        <v>0</v>
      </c>
      <c r="CK43" s="38"/>
      <c r="CL43" s="9"/>
    </row>
    <row r="44" spans="1:90" ht="12" customHeight="1" x14ac:dyDescent="0.3">
      <c r="A44" s="18"/>
      <c r="B44" s="19"/>
      <c r="C44" s="19" t="s">
        <v>73</v>
      </c>
      <c r="D44" s="19"/>
      <c r="E44" s="19"/>
      <c r="F44" s="19"/>
      <c r="G44" s="19"/>
      <c r="H44" s="19"/>
      <c r="I44" s="22"/>
      <c r="J44" s="22"/>
      <c r="K44" s="22"/>
      <c r="L44" s="82"/>
      <c r="M44" s="248">
        <f>SUM(M36:M43)</f>
        <v>44475</v>
      </c>
      <c r="N44" s="176"/>
      <c r="O44" s="9"/>
      <c r="P44" s="18"/>
      <c r="Q44" s="19"/>
      <c r="R44" s="19" t="s">
        <v>73</v>
      </c>
      <c r="S44" s="19"/>
      <c r="T44" s="19"/>
      <c r="U44" s="19"/>
      <c r="V44" s="19"/>
      <c r="W44" s="19"/>
      <c r="X44" s="22"/>
      <c r="Y44" s="22"/>
      <c r="Z44" s="96"/>
      <c r="AA44" s="95"/>
      <c r="AB44" s="248">
        <f>SUM(AB36:AB43)</f>
        <v>45809</v>
      </c>
      <c r="AC44" s="38"/>
      <c r="AD44" s="9"/>
      <c r="AE44" s="18"/>
      <c r="AF44" s="19"/>
      <c r="AG44" s="19" t="s">
        <v>73</v>
      </c>
      <c r="AH44" s="19"/>
      <c r="AI44" s="19"/>
      <c r="AJ44" s="19"/>
      <c r="AK44" s="19"/>
      <c r="AL44" s="19"/>
      <c r="AM44" s="22"/>
      <c r="AN44" s="22"/>
      <c r="AO44" s="96"/>
      <c r="AP44" s="95"/>
      <c r="AQ44" s="248">
        <f>SUM(AQ36:AQ43)</f>
        <v>75191</v>
      </c>
      <c r="AR44" s="38"/>
      <c r="AS44" s="9"/>
      <c r="AT44" s="18"/>
      <c r="AU44" s="19"/>
      <c r="AV44" s="19" t="s">
        <v>73</v>
      </c>
      <c r="AW44" s="19"/>
      <c r="AX44" s="19"/>
      <c r="AY44" s="19"/>
      <c r="AZ44" s="19"/>
      <c r="BA44" s="19"/>
      <c r="BB44" s="22"/>
      <c r="BC44" s="22"/>
      <c r="BD44" s="96"/>
      <c r="BE44" s="95"/>
      <c r="BF44" s="248">
        <f>SUM(BF36:BF43)</f>
        <v>77446</v>
      </c>
      <c r="BG44" s="38"/>
      <c r="BH44" s="9"/>
      <c r="BI44" s="18"/>
      <c r="BJ44" s="19"/>
      <c r="BK44" s="19" t="s">
        <v>73</v>
      </c>
      <c r="BL44" s="19"/>
      <c r="BM44" s="19"/>
      <c r="BN44" s="19"/>
      <c r="BO44" s="19"/>
      <c r="BP44" s="19"/>
      <c r="BQ44" s="22"/>
      <c r="BR44" s="22"/>
      <c r="BS44" s="96"/>
      <c r="BT44" s="95"/>
      <c r="BU44" s="248">
        <f>SUM(BU36:BU43)</f>
        <v>0</v>
      </c>
      <c r="BV44" s="38"/>
      <c r="BW44" s="9"/>
      <c r="BX44" s="18"/>
      <c r="BY44" s="19"/>
      <c r="BZ44" s="19" t="s">
        <v>73</v>
      </c>
      <c r="CA44" s="19"/>
      <c r="CB44" s="19"/>
      <c r="CC44" s="19"/>
      <c r="CD44" s="19"/>
      <c r="CE44" s="19"/>
      <c r="CF44" s="22"/>
      <c r="CG44" s="22"/>
      <c r="CH44" s="96"/>
      <c r="CI44" s="95"/>
      <c r="CJ44" s="248">
        <f t="shared" si="17"/>
        <v>242921</v>
      </c>
      <c r="CK44" s="38"/>
      <c r="CL44" s="9"/>
    </row>
    <row r="45" spans="1:90" ht="12" customHeight="1" x14ac:dyDescent="0.3">
      <c r="A45" s="26" t="s">
        <v>74</v>
      </c>
      <c r="B45" s="19"/>
      <c r="C45" s="19"/>
      <c r="D45" s="19"/>
      <c r="E45" s="19"/>
      <c r="F45" s="19"/>
      <c r="G45" s="19"/>
      <c r="H45" s="19"/>
      <c r="I45" s="22"/>
      <c r="J45" s="22"/>
      <c r="K45" s="22"/>
      <c r="L45" s="82"/>
      <c r="M45" s="248">
        <f>ROUND(((+M36*FAC)+(M38*POST)+(M39*PS)+(M40*GRAD)+(M42*MERIT)+(M43*HOUR)+(M41*ug)),0)</f>
        <v>5045</v>
      </c>
      <c r="N45" s="176"/>
      <c r="O45" s="9"/>
      <c r="P45" s="18" t="s">
        <v>74</v>
      </c>
      <c r="Q45" s="19"/>
      <c r="R45" s="19"/>
      <c r="S45" s="19"/>
      <c r="T45" s="19"/>
      <c r="U45" s="19"/>
      <c r="V45" s="19"/>
      <c r="W45" s="19"/>
      <c r="X45" s="22"/>
      <c r="Y45" s="22"/>
      <c r="Z45" s="96"/>
      <c r="AA45" s="95"/>
      <c r="AB45" s="248">
        <f>ROUND(((+AB36*FAC)+(AB38*POST)+(AB39*PS)+(AB40*GRAD)+(AB42*MERIT)+(AB43*HOUR)+(AB41*ug)),0)</f>
        <v>5196</v>
      </c>
      <c r="AC45" s="38"/>
      <c r="AD45" s="9"/>
      <c r="AE45" s="18" t="s">
        <v>74</v>
      </c>
      <c r="AF45" s="19"/>
      <c r="AG45" s="19"/>
      <c r="AH45" s="19"/>
      <c r="AI45" s="19"/>
      <c r="AJ45" s="19"/>
      <c r="AK45" s="19"/>
      <c r="AL45" s="19"/>
      <c r="AM45" s="22"/>
      <c r="AN45" s="22"/>
      <c r="AO45" s="96"/>
      <c r="AP45" s="95"/>
      <c r="AQ45" s="248">
        <f>ROUND(((+AQ36*FAC)+(AQ38*POST)+(AQ39*PS)+(AQ40*GRAD)+(AQ42*MERIT)+(AQ43*HOUR)+(AQ41*ug)),0)</f>
        <v>7509</v>
      </c>
      <c r="AR45" s="38"/>
      <c r="AS45" s="9"/>
      <c r="AT45" s="18" t="s">
        <v>74</v>
      </c>
      <c r="AU45" s="19"/>
      <c r="AV45" s="19"/>
      <c r="AW45" s="19"/>
      <c r="AX45" s="19"/>
      <c r="AY45" s="19"/>
      <c r="AZ45" s="19"/>
      <c r="BA45" s="19"/>
      <c r="BB45" s="22"/>
      <c r="BC45" s="22"/>
      <c r="BD45" s="96"/>
      <c r="BE45" s="95"/>
      <c r="BF45" s="248">
        <f>ROUND(((+BF36*FAC)+(BF38*POST)+(BF39*PS)+(BF40*GRAD)+(BF42*MERIT)+(BF43*HOUR)+(BF41*ug)),0)</f>
        <v>7734</v>
      </c>
      <c r="BG45" s="38"/>
      <c r="BH45" s="9"/>
      <c r="BI45" s="18" t="s">
        <v>74</v>
      </c>
      <c r="BJ45" s="19"/>
      <c r="BK45" s="19"/>
      <c r="BL45" s="19"/>
      <c r="BM45" s="19"/>
      <c r="BN45" s="19"/>
      <c r="BO45" s="19"/>
      <c r="BP45" s="19"/>
      <c r="BQ45" s="22"/>
      <c r="BR45" s="22"/>
      <c r="BS45" s="96"/>
      <c r="BT45" s="95"/>
      <c r="BU45" s="248">
        <f>ROUND(((+BU36*FAC)+(BU38*POST)+(BU39*PS)+(BU40*GRAD)+(BU42*MERIT)+(BU43*HOUR)+(BU41*ug)),0)</f>
        <v>0</v>
      </c>
      <c r="BV45" s="38"/>
      <c r="BW45" s="9"/>
      <c r="BX45" s="18" t="s">
        <v>74</v>
      </c>
      <c r="BY45" s="19"/>
      <c r="BZ45" s="19"/>
      <c r="CA45" s="19"/>
      <c r="CB45" s="19"/>
      <c r="CC45" s="19"/>
      <c r="CD45" s="19"/>
      <c r="CE45" s="19"/>
      <c r="CF45" s="22"/>
      <c r="CG45" s="22"/>
      <c r="CH45" s="96"/>
      <c r="CI45" s="95"/>
      <c r="CJ45" s="248">
        <f t="shared" si="17"/>
        <v>25484</v>
      </c>
      <c r="CK45" s="38"/>
      <c r="CL45" s="9"/>
    </row>
    <row r="46" spans="1:90" ht="12" customHeight="1" x14ac:dyDescent="0.3">
      <c r="A46" s="18"/>
      <c r="B46" s="19"/>
      <c r="C46" s="19" t="s">
        <v>75</v>
      </c>
      <c r="D46" s="19"/>
      <c r="E46" s="19"/>
      <c r="F46" s="19"/>
      <c r="G46" s="19"/>
      <c r="H46" s="19"/>
      <c r="I46" s="22"/>
      <c r="J46" s="22"/>
      <c r="K46" s="22"/>
      <c r="L46" s="82"/>
      <c r="M46" s="248">
        <f>M45+M44</f>
        <v>49520</v>
      </c>
      <c r="N46" s="176"/>
      <c r="O46" s="9"/>
      <c r="P46" s="18"/>
      <c r="Q46" s="19"/>
      <c r="R46" s="19" t="s">
        <v>76</v>
      </c>
      <c r="S46" s="19"/>
      <c r="T46" s="19"/>
      <c r="U46" s="19"/>
      <c r="V46" s="19"/>
      <c r="W46" s="19"/>
      <c r="X46" s="22"/>
      <c r="Y46" s="22"/>
      <c r="Z46" s="96"/>
      <c r="AA46" s="95"/>
      <c r="AB46" s="248">
        <f>AB45+AB44</f>
        <v>51005</v>
      </c>
      <c r="AC46" s="38"/>
      <c r="AD46" s="9"/>
      <c r="AE46" s="18"/>
      <c r="AF46" s="19"/>
      <c r="AG46" s="19" t="s">
        <v>76</v>
      </c>
      <c r="AH46" s="19"/>
      <c r="AI46" s="19"/>
      <c r="AJ46" s="19"/>
      <c r="AK46" s="19"/>
      <c r="AL46" s="19"/>
      <c r="AM46" s="22"/>
      <c r="AN46" s="22"/>
      <c r="AO46" s="96"/>
      <c r="AP46" s="95"/>
      <c r="AQ46" s="248">
        <f>AQ45+AQ44</f>
        <v>82700</v>
      </c>
      <c r="AR46" s="38"/>
      <c r="AS46" s="9"/>
      <c r="AT46" s="18"/>
      <c r="AU46" s="19"/>
      <c r="AV46" s="19" t="s">
        <v>76</v>
      </c>
      <c r="AW46" s="19"/>
      <c r="AX46" s="19"/>
      <c r="AY46" s="19"/>
      <c r="AZ46" s="19"/>
      <c r="BA46" s="19"/>
      <c r="BB46" s="22"/>
      <c r="BC46" s="22"/>
      <c r="BD46" s="96"/>
      <c r="BE46" s="95"/>
      <c r="BF46" s="248">
        <f>BF45+BF44</f>
        <v>85180</v>
      </c>
      <c r="BG46" s="38"/>
      <c r="BH46" s="9"/>
      <c r="BI46" s="18"/>
      <c r="BJ46" s="19"/>
      <c r="BK46" s="19" t="s">
        <v>76</v>
      </c>
      <c r="BL46" s="19"/>
      <c r="BM46" s="19"/>
      <c r="BN46" s="19"/>
      <c r="BO46" s="19"/>
      <c r="BP46" s="19"/>
      <c r="BQ46" s="22"/>
      <c r="BR46" s="22"/>
      <c r="BS46" s="96"/>
      <c r="BT46" s="95"/>
      <c r="BU46" s="248">
        <f>BU45+BU44</f>
        <v>0</v>
      </c>
      <c r="BV46" s="38"/>
      <c r="BW46" s="9"/>
      <c r="BX46" s="18"/>
      <c r="BY46" s="19"/>
      <c r="BZ46" s="19" t="s">
        <v>76</v>
      </c>
      <c r="CA46" s="19"/>
      <c r="CB46" s="19"/>
      <c r="CC46" s="19"/>
      <c r="CD46" s="19"/>
      <c r="CE46" s="19"/>
      <c r="CF46" s="22"/>
      <c r="CG46" s="22"/>
      <c r="CH46" s="96"/>
      <c r="CI46" s="95"/>
      <c r="CJ46" s="248">
        <f t="shared" si="17"/>
        <v>268405</v>
      </c>
      <c r="CK46" s="38"/>
      <c r="CL46" s="9"/>
    </row>
    <row r="47" spans="1:90" ht="12" customHeight="1" x14ac:dyDescent="0.3">
      <c r="A47" s="42" t="s">
        <v>77</v>
      </c>
      <c r="B47" s="19"/>
      <c r="C47" s="19"/>
      <c r="D47" s="19"/>
      <c r="E47" s="19"/>
      <c r="F47" s="19"/>
      <c r="G47" s="19"/>
      <c r="H47" s="19"/>
      <c r="I47" s="22"/>
      <c r="J47" s="22"/>
      <c r="K47" s="22"/>
      <c r="L47" s="82"/>
      <c r="M47" s="249"/>
      <c r="N47" s="177"/>
      <c r="O47" s="9"/>
      <c r="P47" s="42" t="s">
        <v>78</v>
      </c>
      <c r="Q47" s="19"/>
      <c r="R47" s="19"/>
      <c r="S47" s="19"/>
      <c r="T47" s="19"/>
      <c r="U47" s="19"/>
      <c r="V47" s="19"/>
      <c r="W47" s="19"/>
      <c r="X47" s="22"/>
      <c r="Y47" s="22"/>
      <c r="Z47" s="53"/>
      <c r="AA47" s="83"/>
      <c r="AB47" s="249"/>
      <c r="AC47" s="40"/>
      <c r="AD47" s="9"/>
      <c r="AE47" s="42" t="s">
        <v>77</v>
      </c>
      <c r="AF47" s="19"/>
      <c r="AG47" s="19"/>
      <c r="AH47" s="19"/>
      <c r="AI47" s="19"/>
      <c r="AJ47" s="19"/>
      <c r="AK47" s="19"/>
      <c r="AL47" s="19"/>
      <c r="AM47" s="22"/>
      <c r="AN47" s="22"/>
      <c r="AO47" s="53"/>
      <c r="AP47" s="83"/>
      <c r="AQ47" s="249"/>
      <c r="AR47" s="40"/>
      <c r="AS47" s="9"/>
      <c r="AT47" s="42" t="s">
        <v>77</v>
      </c>
      <c r="AU47" s="19"/>
      <c r="AV47" s="19"/>
      <c r="AW47" s="19"/>
      <c r="AX47" s="19"/>
      <c r="AY47" s="19"/>
      <c r="AZ47" s="19"/>
      <c r="BA47" s="19"/>
      <c r="BB47" s="22"/>
      <c r="BC47" s="22"/>
      <c r="BD47" s="53"/>
      <c r="BE47" s="83"/>
      <c r="BF47" s="249"/>
      <c r="BG47" s="40"/>
      <c r="BH47" s="9"/>
      <c r="BI47" s="42" t="s">
        <v>77</v>
      </c>
      <c r="BJ47" s="19"/>
      <c r="BK47" s="19"/>
      <c r="BL47" s="19"/>
      <c r="BM47" s="19"/>
      <c r="BN47" s="19"/>
      <c r="BO47" s="19"/>
      <c r="BP47" s="19"/>
      <c r="BQ47" s="22"/>
      <c r="BR47" s="22"/>
      <c r="BS47" s="53"/>
      <c r="BT47" s="83"/>
      <c r="BU47" s="249"/>
      <c r="BV47" s="40"/>
      <c r="BW47" s="9"/>
      <c r="BX47" s="42" t="s">
        <v>77</v>
      </c>
      <c r="BY47" s="19"/>
      <c r="BZ47" s="19"/>
      <c r="CA47" s="19"/>
      <c r="CB47" s="19"/>
      <c r="CC47" s="19"/>
      <c r="CD47" s="19"/>
      <c r="CE47" s="19"/>
      <c r="CF47" s="22"/>
      <c r="CG47" s="22"/>
      <c r="CH47" s="53"/>
      <c r="CI47" s="83"/>
      <c r="CJ47" s="249"/>
      <c r="CK47" s="40"/>
      <c r="CL47" s="9"/>
    </row>
    <row r="48" spans="1:90" ht="12" customHeight="1" x14ac:dyDescent="0.3">
      <c r="A48" s="115" t="s">
        <v>63</v>
      </c>
      <c r="B48" s="116"/>
      <c r="C48" s="116" t="s">
        <v>63</v>
      </c>
      <c r="D48" s="116"/>
      <c r="E48" s="116"/>
      <c r="F48" s="116"/>
      <c r="G48" s="116"/>
      <c r="H48" s="116"/>
      <c r="I48" s="117"/>
      <c r="J48" s="117"/>
      <c r="K48" s="117"/>
      <c r="L48" s="118"/>
      <c r="M48" s="250"/>
      <c r="N48" s="178"/>
      <c r="O48" s="9"/>
      <c r="P48" s="115"/>
      <c r="Q48" s="116"/>
      <c r="R48" s="116"/>
      <c r="S48" s="116"/>
      <c r="T48" s="116"/>
      <c r="U48" s="116"/>
      <c r="V48" s="116"/>
      <c r="W48" s="116"/>
      <c r="X48" s="117"/>
      <c r="Y48" s="117"/>
      <c r="Z48" s="126"/>
      <c r="AA48" s="118"/>
      <c r="AB48" s="250"/>
      <c r="AC48" s="43"/>
      <c r="AD48" s="9"/>
      <c r="AE48" s="115"/>
      <c r="AF48" s="116"/>
      <c r="AG48" s="116"/>
      <c r="AH48" s="116"/>
      <c r="AI48" s="116"/>
      <c r="AJ48" s="116"/>
      <c r="AK48" s="116"/>
      <c r="AL48" s="116"/>
      <c r="AM48" s="117"/>
      <c r="AN48" s="117"/>
      <c r="AO48" s="126"/>
      <c r="AP48" s="118"/>
      <c r="AQ48" s="250"/>
      <c r="AR48" s="43"/>
      <c r="AS48" s="9"/>
      <c r="AT48" s="115"/>
      <c r="AU48" s="116"/>
      <c r="AV48" s="116"/>
      <c r="AW48" s="116"/>
      <c r="AX48" s="116"/>
      <c r="AY48" s="116"/>
      <c r="AZ48" s="116"/>
      <c r="BA48" s="116"/>
      <c r="BB48" s="117"/>
      <c r="BC48" s="117"/>
      <c r="BD48" s="126"/>
      <c r="BE48" s="118"/>
      <c r="BF48" s="250"/>
      <c r="BG48" s="43"/>
      <c r="BH48" s="9"/>
      <c r="BI48" s="115"/>
      <c r="BJ48" s="116"/>
      <c r="BK48" s="116"/>
      <c r="BL48" s="116"/>
      <c r="BM48" s="116"/>
      <c r="BN48" s="116"/>
      <c r="BO48" s="116"/>
      <c r="BP48" s="116"/>
      <c r="BQ48" s="117"/>
      <c r="BR48" s="117"/>
      <c r="BS48" s="126"/>
      <c r="BT48" s="118"/>
      <c r="BU48" s="250"/>
      <c r="BV48" s="43"/>
      <c r="BW48" s="9"/>
      <c r="BX48" s="14"/>
      <c r="CF48" s="4"/>
      <c r="CG48" s="4"/>
      <c r="CH48" s="53"/>
      <c r="CI48" s="83"/>
      <c r="CJ48" s="250"/>
      <c r="CK48" s="43"/>
      <c r="CL48" s="9"/>
    </row>
    <row r="49" spans="1:90" ht="12" customHeight="1" x14ac:dyDescent="0.3">
      <c r="A49" s="115"/>
      <c r="B49" s="116"/>
      <c r="C49" s="116"/>
      <c r="D49" s="116"/>
      <c r="E49" s="119"/>
      <c r="F49" s="119"/>
      <c r="G49" s="119"/>
      <c r="H49" s="119"/>
      <c r="I49" s="117"/>
      <c r="J49" s="117"/>
      <c r="K49" s="117"/>
      <c r="L49" s="120"/>
      <c r="M49" s="250"/>
      <c r="N49" s="178"/>
      <c r="O49" s="9"/>
      <c r="P49" s="115"/>
      <c r="Q49" s="116"/>
      <c r="R49" s="116"/>
      <c r="S49" s="116"/>
      <c r="T49" s="119"/>
      <c r="U49" s="119"/>
      <c r="V49" s="119"/>
      <c r="W49" s="119"/>
      <c r="X49" s="117"/>
      <c r="Y49" s="117"/>
      <c r="Z49" s="126"/>
      <c r="AA49" s="118"/>
      <c r="AB49" s="250"/>
      <c r="AC49" s="43"/>
      <c r="AD49" s="9"/>
      <c r="AE49" s="115"/>
      <c r="AF49" s="116"/>
      <c r="AG49" s="116"/>
      <c r="AH49" s="116"/>
      <c r="AI49" s="119"/>
      <c r="AJ49" s="119"/>
      <c r="AK49" s="119"/>
      <c r="AL49" s="119"/>
      <c r="AM49" s="117"/>
      <c r="AN49" s="117"/>
      <c r="AO49" s="126"/>
      <c r="AP49" s="118"/>
      <c r="AQ49" s="250"/>
      <c r="AR49" s="43"/>
      <c r="AS49" s="9"/>
      <c r="AT49" s="115"/>
      <c r="AU49" s="116"/>
      <c r="AV49" s="116"/>
      <c r="AW49" s="116"/>
      <c r="AX49" s="119"/>
      <c r="AY49" s="119"/>
      <c r="AZ49" s="119"/>
      <c r="BA49" s="119"/>
      <c r="BB49" s="117"/>
      <c r="BC49" s="117"/>
      <c r="BD49" s="126"/>
      <c r="BE49" s="118"/>
      <c r="BF49" s="250"/>
      <c r="BG49" s="43"/>
      <c r="BH49" s="9"/>
      <c r="BI49" s="115"/>
      <c r="BJ49" s="116"/>
      <c r="BK49" s="116"/>
      <c r="BL49" s="116"/>
      <c r="BM49" s="119"/>
      <c r="BN49" s="119"/>
      <c r="BO49" s="119"/>
      <c r="BP49" s="119"/>
      <c r="BQ49" s="117"/>
      <c r="BR49" s="117"/>
      <c r="BS49" s="126"/>
      <c r="BT49" s="118"/>
      <c r="BU49" s="250"/>
      <c r="BV49" s="43"/>
      <c r="BW49" s="9"/>
      <c r="BX49" s="14"/>
      <c r="CB49" s="6"/>
      <c r="CC49" s="6"/>
      <c r="CD49" s="6"/>
      <c r="CE49" s="6"/>
      <c r="CF49" s="4"/>
      <c r="CG49" s="4"/>
      <c r="CH49" s="53"/>
      <c r="CI49" s="83"/>
      <c r="CJ49" s="250"/>
      <c r="CK49" s="43"/>
      <c r="CL49" s="9"/>
    </row>
    <row r="50" spans="1:90" ht="12" customHeight="1" x14ac:dyDescent="0.3">
      <c r="A50" s="115"/>
      <c r="B50" s="116"/>
      <c r="C50" s="116"/>
      <c r="D50" s="116"/>
      <c r="E50" s="119"/>
      <c r="F50" s="119"/>
      <c r="G50" s="119"/>
      <c r="H50" s="119"/>
      <c r="I50" s="117"/>
      <c r="J50" s="117"/>
      <c r="K50" s="117"/>
      <c r="L50" s="118"/>
      <c r="M50" s="250"/>
      <c r="N50" s="178"/>
      <c r="O50" s="9"/>
      <c r="P50" s="115"/>
      <c r="Q50" s="116"/>
      <c r="R50" s="116"/>
      <c r="S50" s="116"/>
      <c r="T50" s="119"/>
      <c r="U50" s="119"/>
      <c r="V50" s="119"/>
      <c r="W50" s="119"/>
      <c r="X50" s="117"/>
      <c r="Y50" s="117"/>
      <c r="Z50" s="126"/>
      <c r="AA50" s="120"/>
      <c r="AB50" s="250"/>
      <c r="AC50" s="44"/>
      <c r="AD50" s="9"/>
      <c r="AE50" s="115"/>
      <c r="AF50" s="116"/>
      <c r="AG50" s="116"/>
      <c r="AH50" s="116"/>
      <c r="AI50" s="119"/>
      <c r="AJ50" s="119"/>
      <c r="AK50" s="119"/>
      <c r="AL50" s="119"/>
      <c r="AM50" s="117"/>
      <c r="AN50" s="117"/>
      <c r="AO50" s="126"/>
      <c r="AP50" s="120"/>
      <c r="AQ50" s="250"/>
      <c r="AR50" s="44"/>
      <c r="AS50" s="9"/>
      <c r="AT50" s="115"/>
      <c r="AU50" s="116"/>
      <c r="AV50" s="116"/>
      <c r="AW50" s="116"/>
      <c r="AX50" s="119"/>
      <c r="AY50" s="119"/>
      <c r="AZ50" s="119"/>
      <c r="BA50" s="119"/>
      <c r="BB50" s="117"/>
      <c r="BC50" s="117"/>
      <c r="BD50" s="126"/>
      <c r="BE50" s="120"/>
      <c r="BF50" s="250"/>
      <c r="BG50" s="44"/>
      <c r="BH50" s="9"/>
      <c r="BI50" s="115"/>
      <c r="BJ50" s="116"/>
      <c r="BK50" s="116"/>
      <c r="BL50" s="116"/>
      <c r="BM50" s="119"/>
      <c r="BN50" s="119"/>
      <c r="BO50" s="119"/>
      <c r="BP50" s="119"/>
      <c r="BQ50" s="117"/>
      <c r="BR50" s="117"/>
      <c r="BS50" s="126"/>
      <c r="BT50" s="120"/>
      <c r="BU50" s="250"/>
      <c r="BV50" s="44"/>
      <c r="BW50" s="9"/>
      <c r="BX50" s="14"/>
      <c r="CB50" s="6"/>
      <c r="CC50" s="6"/>
      <c r="CD50" s="6"/>
      <c r="CE50" s="6"/>
      <c r="CF50" s="4"/>
      <c r="CG50" s="4"/>
      <c r="CH50" s="53"/>
      <c r="CI50" s="84"/>
      <c r="CJ50" s="250"/>
      <c r="CK50" s="44"/>
      <c r="CL50" s="9"/>
    </row>
    <row r="51" spans="1:90" ht="12" customHeight="1" x14ac:dyDescent="0.3">
      <c r="A51" s="115"/>
      <c r="B51" s="116"/>
      <c r="C51" s="116"/>
      <c r="D51" s="116"/>
      <c r="E51" s="119"/>
      <c r="F51" s="119"/>
      <c r="G51" s="119"/>
      <c r="H51" s="119"/>
      <c r="I51" s="117"/>
      <c r="J51" s="117"/>
      <c r="K51" s="117"/>
      <c r="L51" s="118"/>
      <c r="M51" s="250"/>
      <c r="N51" s="178"/>
      <c r="O51" s="9"/>
      <c r="P51" s="115"/>
      <c r="Q51" s="116"/>
      <c r="R51" s="116"/>
      <c r="S51" s="116"/>
      <c r="T51" s="119"/>
      <c r="U51" s="119"/>
      <c r="V51" s="119"/>
      <c r="W51" s="119"/>
      <c r="X51" s="117"/>
      <c r="Y51" s="117"/>
      <c r="Z51" s="126"/>
      <c r="AA51" s="118"/>
      <c r="AB51" s="250"/>
      <c r="AC51" s="43"/>
      <c r="AD51" s="9"/>
      <c r="AE51" s="115"/>
      <c r="AF51" s="116"/>
      <c r="AG51" s="116"/>
      <c r="AH51" s="116"/>
      <c r="AI51" s="119"/>
      <c r="AJ51" s="119"/>
      <c r="AK51" s="119"/>
      <c r="AL51" s="119"/>
      <c r="AM51" s="117"/>
      <c r="AN51" s="117"/>
      <c r="AO51" s="126"/>
      <c r="AP51" s="118"/>
      <c r="AQ51" s="250"/>
      <c r="AR51" s="43"/>
      <c r="AS51" s="9"/>
      <c r="AT51" s="115"/>
      <c r="AU51" s="116"/>
      <c r="AV51" s="116"/>
      <c r="AW51" s="116"/>
      <c r="AX51" s="119"/>
      <c r="AY51" s="119"/>
      <c r="AZ51" s="119"/>
      <c r="BA51" s="119"/>
      <c r="BB51" s="117"/>
      <c r="BC51" s="117"/>
      <c r="BD51" s="126"/>
      <c r="BE51" s="118"/>
      <c r="BF51" s="250"/>
      <c r="BG51" s="43"/>
      <c r="BH51" s="9"/>
      <c r="BI51" s="115"/>
      <c r="BJ51" s="116"/>
      <c r="BK51" s="116"/>
      <c r="BL51" s="116"/>
      <c r="BM51" s="119"/>
      <c r="BN51" s="119"/>
      <c r="BO51" s="119"/>
      <c r="BP51" s="119"/>
      <c r="BQ51" s="117"/>
      <c r="BR51" s="117"/>
      <c r="BS51" s="126"/>
      <c r="BT51" s="118"/>
      <c r="BU51" s="250"/>
      <c r="BV51" s="43"/>
      <c r="BW51" s="9"/>
      <c r="BX51" s="14"/>
      <c r="CB51" s="6"/>
      <c r="CC51" s="6"/>
      <c r="CD51" s="6"/>
      <c r="CE51" s="6"/>
      <c r="CF51" s="4"/>
      <c r="CG51" s="4"/>
      <c r="CH51" s="53"/>
      <c r="CI51" s="83"/>
      <c r="CJ51" s="250"/>
      <c r="CK51" s="43"/>
      <c r="CL51" s="9"/>
    </row>
    <row r="52" spans="1:90" ht="12" customHeight="1" x14ac:dyDescent="0.3">
      <c r="A52" s="115"/>
      <c r="B52" s="116"/>
      <c r="C52" s="116"/>
      <c r="D52" s="116"/>
      <c r="E52" s="119"/>
      <c r="F52" s="119"/>
      <c r="G52" s="119"/>
      <c r="H52" s="119"/>
      <c r="I52" s="117"/>
      <c r="J52" s="117"/>
      <c r="K52" s="117"/>
      <c r="L52" s="118"/>
      <c r="M52" s="251"/>
      <c r="N52" s="178"/>
      <c r="O52" s="9"/>
      <c r="P52" s="115"/>
      <c r="Q52" s="116"/>
      <c r="R52" s="116"/>
      <c r="S52" s="116"/>
      <c r="T52" s="119"/>
      <c r="U52" s="119"/>
      <c r="V52" s="119"/>
      <c r="W52" s="119"/>
      <c r="X52" s="117"/>
      <c r="Y52" s="117"/>
      <c r="Z52" s="126"/>
      <c r="AA52" s="118"/>
      <c r="AB52" s="250"/>
      <c r="AC52" s="43"/>
      <c r="AD52" s="9"/>
      <c r="AE52" s="115"/>
      <c r="AF52" s="116"/>
      <c r="AG52" s="116"/>
      <c r="AH52" s="116"/>
      <c r="AI52" s="119"/>
      <c r="AJ52" s="119"/>
      <c r="AK52" s="119"/>
      <c r="AL52" s="119"/>
      <c r="AM52" s="117"/>
      <c r="AN52" s="117"/>
      <c r="AO52" s="126"/>
      <c r="AP52" s="118"/>
      <c r="AQ52" s="250"/>
      <c r="AR52" s="43"/>
      <c r="AS52" s="9"/>
      <c r="AT52" s="115"/>
      <c r="AU52" s="116"/>
      <c r="AV52" s="116"/>
      <c r="AW52" s="116"/>
      <c r="AX52" s="119"/>
      <c r="AY52" s="119"/>
      <c r="AZ52" s="119"/>
      <c r="BA52" s="119"/>
      <c r="BB52" s="117"/>
      <c r="BC52" s="117"/>
      <c r="BD52" s="126"/>
      <c r="BE52" s="118"/>
      <c r="BF52" s="250"/>
      <c r="BG52" s="43"/>
      <c r="BH52" s="9"/>
      <c r="BI52" s="115"/>
      <c r="BJ52" s="116"/>
      <c r="BK52" s="116"/>
      <c r="BL52" s="116"/>
      <c r="BM52" s="119"/>
      <c r="BN52" s="119"/>
      <c r="BO52" s="119"/>
      <c r="BP52" s="119"/>
      <c r="BQ52" s="117"/>
      <c r="BR52" s="117"/>
      <c r="BS52" s="126"/>
      <c r="BT52" s="118"/>
      <c r="BU52" s="250"/>
      <c r="BV52" s="43"/>
      <c r="BW52" s="9"/>
      <c r="BX52" s="14"/>
      <c r="CB52" s="6"/>
      <c r="CC52" s="6"/>
      <c r="CD52" s="6"/>
      <c r="CE52" s="6"/>
      <c r="CF52" s="4"/>
      <c r="CG52" s="4"/>
      <c r="CH52" s="53"/>
      <c r="CI52" s="83"/>
      <c r="CJ52" s="250"/>
      <c r="CK52" s="43"/>
      <c r="CL52" s="9"/>
    </row>
    <row r="53" spans="1:90" ht="12" customHeight="1" x14ac:dyDescent="0.3">
      <c r="A53" s="14"/>
      <c r="C53" s="80" t="s">
        <v>79</v>
      </c>
      <c r="I53" s="4"/>
      <c r="J53" s="4"/>
      <c r="K53" s="4"/>
      <c r="L53" s="83"/>
      <c r="M53" s="247"/>
      <c r="N53" s="176"/>
      <c r="O53" s="9"/>
      <c r="P53" s="14"/>
      <c r="R53" s="80" t="s">
        <v>79</v>
      </c>
      <c r="X53" s="4"/>
      <c r="Y53" s="4"/>
      <c r="Z53" s="97"/>
      <c r="AA53" s="98"/>
      <c r="AB53" s="247"/>
      <c r="AC53" s="38"/>
      <c r="AD53" s="9"/>
      <c r="AE53" s="14"/>
      <c r="AG53" s="80" t="s">
        <v>79</v>
      </c>
      <c r="AM53" s="4"/>
      <c r="AN53" s="4"/>
      <c r="AO53" s="97"/>
      <c r="AP53" s="98"/>
      <c r="AQ53" s="247"/>
      <c r="AR53" s="38"/>
      <c r="AS53" s="9"/>
      <c r="AT53" s="14"/>
      <c r="AV53" s="80" t="s">
        <v>79</v>
      </c>
      <c r="BB53" s="4"/>
      <c r="BC53" s="4"/>
      <c r="BD53" s="97"/>
      <c r="BE53" s="98"/>
      <c r="BF53" s="247"/>
      <c r="BG53" s="38"/>
      <c r="BH53" s="9"/>
      <c r="BI53" s="14"/>
      <c r="BK53" s="80" t="s">
        <v>79</v>
      </c>
      <c r="BQ53" s="4"/>
      <c r="BR53" s="4"/>
      <c r="BS53" s="97"/>
      <c r="BT53" s="98"/>
      <c r="BU53" s="247"/>
      <c r="BV53" s="38"/>
      <c r="BW53" s="9"/>
      <c r="BX53" s="14"/>
      <c r="BZ53" s="80" t="s">
        <v>79</v>
      </c>
      <c r="CF53" s="4"/>
      <c r="CG53" s="4"/>
      <c r="CH53" s="97"/>
      <c r="CI53" s="98"/>
      <c r="CJ53" s="248">
        <f>AQ53+AB53+M53+BF53+BU53</f>
        <v>0</v>
      </c>
      <c r="CK53" s="38"/>
      <c r="CL53" s="9"/>
    </row>
    <row r="54" spans="1:90" ht="12" customHeight="1" x14ac:dyDescent="0.3">
      <c r="A54" s="18" t="s">
        <v>80</v>
      </c>
      <c r="B54" s="19"/>
      <c r="C54" s="19"/>
      <c r="D54" s="19"/>
      <c r="E54" s="45"/>
      <c r="F54" s="19"/>
      <c r="G54" s="19"/>
      <c r="H54" s="19"/>
      <c r="I54" s="22"/>
      <c r="J54" s="22"/>
      <c r="K54" s="22"/>
      <c r="L54" s="82"/>
      <c r="M54" s="247">
        <v>480</v>
      </c>
      <c r="N54" s="176"/>
      <c r="O54" s="9"/>
      <c r="P54" s="18" t="s">
        <v>80</v>
      </c>
      <c r="Q54" s="19"/>
      <c r="R54" s="19"/>
      <c r="S54" s="19"/>
      <c r="T54" s="45"/>
      <c r="U54" s="19"/>
      <c r="V54" s="19"/>
      <c r="W54" s="19"/>
      <c r="X54" s="22"/>
      <c r="Y54" s="22"/>
      <c r="Z54" s="96"/>
      <c r="AA54" s="95"/>
      <c r="AB54" s="247">
        <v>3880</v>
      </c>
      <c r="AC54" s="38"/>
      <c r="AD54" s="9"/>
      <c r="AE54" s="18" t="s">
        <v>80</v>
      </c>
      <c r="AF54" s="19"/>
      <c r="AG54" s="19"/>
      <c r="AH54" s="19"/>
      <c r="AI54" s="45"/>
      <c r="AJ54" s="19"/>
      <c r="AK54" s="19"/>
      <c r="AL54" s="19"/>
      <c r="AM54" s="22"/>
      <c r="AN54" s="22"/>
      <c r="AO54" s="96"/>
      <c r="AP54" s="95"/>
      <c r="AQ54" s="247">
        <v>3880</v>
      </c>
      <c r="AR54" s="38"/>
      <c r="AS54" s="9"/>
      <c r="AT54" s="18" t="s">
        <v>80</v>
      </c>
      <c r="AU54" s="19"/>
      <c r="AV54" s="19"/>
      <c r="AW54" s="19"/>
      <c r="AX54" s="45"/>
      <c r="AY54" s="19"/>
      <c r="AZ54" s="19"/>
      <c r="BA54" s="19"/>
      <c r="BB54" s="22"/>
      <c r="BC54" s="22"/>
      <c r="BD54" s="96"/>
      <c r="BE54" s="95"/>
      <c r="BF54" s="247">
        <v>3880</v>
      </c>
      <c r="BG54" s="38"/>
      <c r="BH54" s="9"/>
      <c r="BI54" s="18" t="s">
        <v>80</v>
      </c>
      <c r="BJ54" s="19"/>
      <c r="BK54" s="19"/>
      <c r="BL54" s="19"/>
      <c r="BM54" s="45"/>
      <c r="BN54" s="19"/>
      <c r="BO54" s="19"/>
      <c r="BP54" s="19"/>
      <c r="BQ54" s="22"/>
      <c r="BR54" s="22"/>
      <c r="BS54" s="96"/>
      <c r="BT54" s="95"/>
      <c r="BU54" s="247"/>
      <c r="BV54" s="38"/>
      <c r="BW54" s="9"/>
      <c r="BX54" s="18" t="s">
        <v>80</v>
      </c>
      <c r="BY54" s="19"/>
      <c r="BZ54" s="19"/>
      <c r="CA54" s="19"/>
      <c r="CB54" s="45"/>
      <c r="CC54" s="19"/>
      <c r="CD54" s="19"/>
      <c r="CE54" s="19"/>
      <c r="CF54" s="22"/>
      <c r="CG54" s="22"/>
      <c r="CH54" s="96"/>
      <c r="CI54" s="95"/>
      <c r="CJ54" s="248">
        <f>AQ54+AB54+M54+BF54+BU54</f>
        <v>12120</v>
      </c>
      <c r="CK54" s="38"/>
      <c r="CL54" s="9"/>
    </row>
    <row r="55" spans="1:90" ht="12" customHeight="1" x14ac:dyDescent="0.3">
      <c r="A55" s="18" t="s">
        <v>81</v>
      </c>
      <c r="B55" s="19"/>
      <c r="C55" s="19"/>
      <c r="D55" s="45"/>
      <c r="F55" s="19"/>
      <c r="G55" s="19"/>
      <c r="H55" s="19"/>
      <c r="I55" s="22"/>
      <c r="J55" s="22"/>
      <c r="K55" s="22"/>
      <c r="L55" s="82"/>
      <c r="M55" s="247"/>
      <c r="N55" s="176"/>
      <c r="O55" s="9"/>
      <c r="P55" s="18" t="s">
        <v>82</v>
      </c>
      <c r="Q55" s="19"/>
      <c r="R55" s="19"/>
      <c r="S55" s="45"/>
      <c r="U55" s="19"/>
      <c r="V55" s="19"/>
      <c r="W55" s="19"/>
      <c r="X55" s="22"/>
      <c r="Y55" s="22"/>
      <c r="Z55" s="96"/>
      <c r="AA55" s="95"/>
      <c r="AB55" s="247">
        <v>5300</v>
      </c>
      <c r="AC55" s="38"/>
      <c r="AD55" s="9"/>
      <c r="AE55" s="18" t="s">
        <v>82</v>
      </c>
      <c r="AF55" s="19"/>
      <c r="AG55" s="19"/>
      <c r="AH55" s="45"/>
      <c r="AJ55" s="19"/>
      <c r="AK55" s="19"/>
      <c r="AL55" s="19"/>
      <c r="AM55" s="22"/>
      <c r="AN55" s="22"/>
      <c r="AO55" s="96"/>
      <c r="AP55" s="95"/>
      <c r="AQ55" s="247">
        <v>5300</v>
      </c>
      <c r="AR55" s="38"/>
      <c r="AS55" s="9"/>
      <c r="AT55" s="18" t="s">
        <v>82</v>
      </c>
      <c r="AU55" s="19"/>
      <c r="AV55" s="19"/>
      <c r="AW55" s="45"/>
      <c r="AY55" s="19"/>
      <c r="AZ55" s="19"/>
      <c r="BA55" s="19"/>
      <c r="BB55" s="22"/>
      <c r="BC55" s="22"/>
      <c r="BD55" s="96"/>
      <c r="BE55" s="95"/>
      <c r="BF55" s="247">
        <v>5300</v>
      </c>
      <c r="BG55" s="38"/>
      <c r="BH55" s="9"/>
      <c r="BI55" s="18" t="s">
        <v>82</v>
      </c>
      <c r="BJ55" s="19"/>
      <c r="BK55" s="19"/>
      <c r="BL55" s="45"/>
      <c r="BN55" s="19"/>
      <c r="BO55" s="19"/>
      <c r="BP55" s="19"/>
      <c r="BQ55" s="22"/>
      <c r="BR55" s="22"/>
      <c r="BS55" s="96"/>
      <c r="BT55" s="95"/>
      <c r="BU55" s="247"/>
      <c r="BV55" s="38"/>
      <c r="BW55" s="9"/>
      <c r="BX55" s="18" t="s">
        <v>82</v>
      </c>
      <c r="BY55" s="19"/>
      <c r="BZ55" s="19"/>
      <c r="CA55" s="45"/>
      <c r="CC55" s="19"/>
      <c r="CD55" s="19"/>
      <c r="CE55" s="19"/>
      <c r="CF55" s="22"/>
      <c r="CG55" s="22"/>
      <c r="CH55" s="96"/>
      <c r="CI55" s="95"/>
      <c r="CJ55" s="248">
        <f>AQ55+AB55+M55+BF55+BU55</f>
        <v>15900</v>
      </c>
      <c r="CK55" s="38"/>
      <c r="CL55" s="9"/>
    </row>
    <row r="56" spans="1:90" ht="12" customHeight="1" x14ac:dyDescent="0.3">
      <c r="A56" s="14"/>
      <c r="E56" s="19"/>
      <c r="F56" s="19"/>
      <c r="G56" s="19"/>
      <c r="H56" s="19"/>
      <c r="I56" s="22"/>
      <c r="J56" s="22"/>
      <c r="K56" s="22"/>
      <c r="L56" s="82"/>
      <c r="M56" s="249"/>
      <c r="N56" s="177"/>
      <c r="O56" s="9"/>
      <c r="P56" s="14"/>
      <c r="T56" s="19"/>
      <c r="U56" s="19"/>
      <c r="V56" s="19"/>
      <c r="W56" s="19"/>
      <c r="X56" s="22"/>
      <c r="Y56" s="22"/>
      <c r="Z56" s="53"/>
      <c r="AA56" s="83"/>
      <c r="AB56" s="249"/>
      <c r="AC56" s="40"/>
      <c r="AD56" s="9"/>
      <c r="AE56" s="14"/>
      <c r="AI56" s="19"/>
      <c r="AJ56" s="19"/>
      <c r="AK56" s="19"/>
      <c r="AL56" s="19"/>
      <c r="AM56" s="22"/>
      <c r="AN56" s="22"/>
      <c r="AO56" s="53"/>
      <c r="AP56" s="83"/>
      <c r="AQ56" s="249"/>
      <c r="AR56" s="40"/>
      <c r="AS56" s="9"/>
      <c r="AT56" s="14"/>
      <c r="AX56" s="19"/>
      <c r="AY56" s="19"/>
      <c r="AZ56" s="19"/>
      <c r="BA56" s="19"/>
      <c r="BB56" s="22"/>
      <c r="BC56" s="22"/>
      <c r="BD56" s="53"/>
      <c r="BE56" s="83"/>
      <c r="BF56" s="249"/>
      <c r="BG56" s="40"/>
      <c r="BH56" s="9"/>
      <c r="BI56" s="14"/>
      <c r="BM56" s="19"/>
      <c r="BN56" s="19"/>
      <c r="BO56" s="19"/>
      <c r="BP56" s="19"/>
      <c r="BQ56" s="22"/>
      <c r="BR56" s="22"/>
      <c r="BS56" s="53"/>
      <c r="BT56" s="83"/>
      <c r="BU56" s="249"/>
      <c r="BV56" s="40"/>
      <c r="BW56" s="9"/>
      <c r="BX56" s="14"/>
      <c r="CB56" s="19"/>
      <c r="CC56" s="19"/>
      <c r="CD56" s="19"/>
      <c r="CE56" s="19"/>
      <c r="CF56" s="22"/>
      <c r="CG56" s="22"/>
      <c r="CH56" s="53"/>
      <c r="CI56" s="83"/>
      <c r="CJ56" s="249"/>
      <c r="CK56" s="40"/>
      <c r="CL56" s="9"/>
    </row>
    <row r="57" spans="1:90" ht="12" customHeight="1" x14ac:dyDescent="0.3">
      <c r="A57" s="14"/>
      <c r="I57" s="4"/>
      <c r="J57" s="4"/>
      <c r="K57" s="4"/>
      <c r="L57" s="83"/>
      <c r="M57" s="250"/>
      <c r="N57" s="178"/>
      <c r="O57" s="9"/>
      <c r="P57" s="14"/>
      <c r="X57" s="4"/>
      <c r="Y57" s="4"/>
      <c r="Z57" s="97"/>
      <c r="AA57" s="99"/>
      <c r="AB57" s="250"/>
      <c r="AC57" s="43"/>
      <c r="AD57" s="9"/>
      <c r="AE57" s="14"/>
      <c r="AM57" s="4"/>
      <c r="AN57" s="4"/>
      <c r="AO57" s="97"/>
      <c r="AP57" s="99"/>
      <c r="AQ57" s="250"/>
      <c r="AR57" s="43"/>
      <c r="AS57" s="9"/>
      <c r="AT57" s="14"/>
      <c r="BB57" s="4"/>
      <c r="BC57" s="4"/>
      <c r="BD57" s="97"/>
      <c r="BE57" s="99"/>
      <c r="BF57" s="250"/>
      <c r="BG57" s="43"/>
      <c r="BH57" s="9"/>
      <c r="BI57" s="14"/>
      <c r="BQ57" s="4"/>
      <c r="BR57" s="4"/>
      <c r="BS57" s="97"/>
      <c r="BT57" s="99"/>
      <c r="BU57" s="250"/>
      <c r="BV57" s="43"/>
      <c r="BW57" s="9"/>
      <c r="BX57" s="14"/>
      <c r="CF57" s="4"/>
      <c r="CG57" s="4"/>
      <c r="CH57" s="97"/>
      <c r="CI57" s="99"/>
      <c r="CJ57" s="250"/>
      <c r="CK57" s="43"/>
      <c r="CL57" s="9"/>
    </row>
    <row r="58" spans="1:90" ht="12" customHeight="1" x14ac:dyDescent="0.3">
      <c r="A58" s="18" t="s">
        <v>83</v>
      </c>
      <c r="B58" s="19"/>
      <c r="C58" s="19"/>
      <c r="D58" s="19"/>
      <c r="E58" s="19"/>
      <c r="F58" s="19"/>
      <c r="G58" s="19"/>
      <c r="H58" s="19"/>
      <c r="I58" s="22"/>
      <c r="J58" s="22"/>
      <c r="K58" s="22"/>
      <c r="L58" s="82"/>
      <c r="M58" s="249"/>
      <c r="N58" s="177"/>
      <c r="O58" s="9"/>
      <c r="P58" s="18" t="s">
        <v>83</v>
      </c>
      <c r="Q58" s="19"/>
      <c r="R58" s="19"/>
      <c r="S58" s="19"/>
      <c r="T58" s="19"/>
      <c r="U58" s="19"/>
      <c r="V58" s="19"/>
      <c r="W58" s="19"/>
      <c r="X58" s="22"/>
      <c r="Y58" s="22"/>
      <c r="Z58" s="53"/>
      <c r="AA58" s="83"/>
      <c r="AB58" s="249"/>
      <c r="AC58" s="40"/>
      <c r="AD58" s="9"/>
      <c r="AE58" s="18" t="s">
        <v>83</v>
      </c>
      <c r="AF58" s="19"/>
      <c r="AG58" s="19"/>
      <c r="AH58" s="19"/>
      <c r="AI58" s="19"/>
      <c r="AJ58" s="19"/>
      <c r="AK58" s="19"/>
      <c r="AL58" s="19"/>
      <c r="AM58" s="22"/>
      <c r="AN58" s="22"/>
      <c r="AO58" s="53"/>
      <c r="AP58" s="83"/>
      <c r="AQ58" s="249"/>
      <c r="AR58" s="40"/>
      <c r="AS58" s="9"/>
      <c r="AT58" s="18" t="s">
        <v>83</v>
      </c>
      <c r="AU58" s="19"/>
      <c r="AV58" s="19"/>
      <c r="AW58" s="19"/>
      <c r="AX58" s="19"/>
      <c r="AY58" s="19"/>
      <c r="AZ58" s="19"/>
      <c r="BA58" s="19"/>
      <c r="BB58" s="22"/>
      <c r="BC58" s="22"/>
      <c r="BD58" s="53"/>
      <c r="BE58" s="83"/>
      <c r="BF58" s="249"/>
      <c r="BG58" s="40"/>
      <c r="BH58" s="9"/>
      <c r="BI58" s="18" t="s">
        <v>83</v>
      </c>
      <c r="BJ58" s="19"/>
      <c r="BK58" s="19"/>
      <c r="BL58" s="19"/>
      <c r="BM58" s="19"/>
      <c r="BN58" s="19"/>
      <c r="BO58" s="19"/>
      <c r="BP58" s="19"/>
      <c r="BQ58" s="22"/>
      <c r="BR58" s="22"/>
      <c r="BS58" s="53"/>
      <c r="BT58" s="83"/>
      <c r="BU58" s="249"/>
      <c r="BV58" s="40"/>
      <c r="BW58" s="9"/>
      <c r="BX58" s="18" t="s">
        <v>83</v>
      </c>
      <c r="BY58" s="19"/>
      <c r="BZ58" s="19"/>
      <c r="CA58" s="19"/>
      <c r="CB58" s="19"/>
      <c r="CC58" s="19"/>
      <c r="CD58" s="19"/>
      <c r="CE58" s="19"/>
      <c r="CF58" s="22"/>
      <c r="CG58" s="22"/>
      <c r="CH58" s="53"/>
      <c r="CI58" s="83"/>
      <c r="CJ58" s="249"/>
      <c r="CK58" s="40"/>
      <c r="CL58" s="9"/>
    </row>
    <row r="59" spans="1:90" ht="12" customHeight="1" x14ac:dyDescent="0.3">
      <c r="A59" s="46" t="s">
        <v>84</v>
      </c>
      <c r="B59" s="47"/>
      <c r="F59" s="121"/>
      <c r="G59" s="49"/>
      <c r="H59" s="50"/>
      <c r="I59" s="4"/>
      <c r="J59" s="4"/>
      <c r="K59" s="4"/>
      <c r="L59" s="83"/>
      <c r="M59" s="250"/>
      <c r="N59" s="178"/>
      <c r="O59" s="9"/>
      <c r="P59" s="46" t="s">
        <v>84</v>
      </c>
      <c r="S59" s="47"/>
      <c r="T59" s="47"/>
      <c r="U59" s="121"/>
      <c r="V59" s="51"/>
      <c r="W59" s="50"/>
      <c r="X59" s="4"/>
      <c r="Y59" s="4"/>
      <c r="Z59" s="53"/>
      <c r="AA59" s="83"/>
      <c r="AB59" s="250"/>
      <c r="AC59" s="43"/>
      <c r="AD59" s="9"/>
      <c r="AE59" s="46" t="s">
        <v>84</v>
      </c>
      <c r="AH59" s="47"/>
      <c r="AI59" s="47"/>
      <c r="AJ59" s="121"/>
      <c r="AK59" s="51"/>
      <c r="AL59" s="50"/>
      <c r="AM59" s="4"/>
      <c r="AN59" s="4"/>
      <c r="AO59" s="53"/>
      <c r="AP59" s="83"/>
      <c r="AQ59" s="250"/>
      <c r="AR59" s="43"/>
      <c r="AS59" s="9"/>
      <c r="AT59" s="46" t="s">
        <v>84</v>
      </c>
      <c r="AW59" s="47"/>
      <c r="AX59" s="47"/>
      <c r="AY59" s="121"/>
      <c r="AZ59" s="51"/>
      <c r="BA59" s="50"/>
      <c r="BB59" s="4"/>
      <c r="BC59" s="4"/>
      <c r="BD59" s="53"/>
      <c r="BE59" s="83"/>
      <c r="BF59" s="250"/>
      <c r="BG59" s="43"/>
      <c r="BH59" s="9"/>
      <c r="BI59" s="46" t="s">
        <v>84</v>
      </c>
      <c r="BL59" s="47"/>
      <c r="BM59" s="47"/>
      <c r="BN59" s="121"/>
      <c r="BO59" s="51"/>
      <c r="BP59" s="50"/>
      <c r="BQ59" s="4"/>
      <c r="BR59" s="4"/>
      <c r="BS59" s="53"/>
      <c r="BT59" s="83"/>
      <c r="BU59" s="250"/>
      <c r="BV59" s="43"/>
      <c r="BW59" s="9"/>
      <c r="BX59" s="46" t="s">
        <v>84</v>
      </c>
      <c r="CA59" s="47"/>
      <c r="CB59" s="47"/>
      <c r="CC59" s="48">
        <f>SUM(AJ59,U59,F59,AY59,BN59)</f>
        <v>0</v>
      </c>
      <c r="CD59" s="49"/>
      <c r="CE59" s="50"/>
      <c r="CF59" s="4"/>
      <c r="CG59" s="4"/>
      <c r="CH59" s="53"/>
      <c r="CI59" s="83"/>
      <c r="CJ59" s="250"/>
      <c r="CK59" s="43"/>
      <c r="CL59" s="9"/>
    </row>
    <row r="60" spans="1:90" ht="12" customHeight="1" x14ac:dyDescent="0.3">
      <c r="A60" s="46" t="s">
        <v>85</v>
      </c>
      <c r="B60" s="47"/>
      <c r="F60" s="121"/>
      <c r="G60" s="49"/>
      <c r="H60" s="50"/>
      <c r="I60" s="4"/>
      <c r="J60" s="4"/>
      <c r="K60" s="4"/>
      <c r="L60" s="83"/>
      <c r="M60" s="250"/>
      <c r="N60" s="178"/>
      <c r="O60" s="9"/>
      <c r="P60" s="46" t="s">
        <v>85</v>
      </c>
      <c r="S60" s="47"/>
      <c r="T60" s="47"/>
      <c r="U60" s="121"/>
      <c r="V60" s="51"/>
      <c r="W60" s="50"/>
      <c r="X60" s="4"/>
      <c r="Y60" s="4"/>
      <c r="Z60" s="53"/>
      <c r="AA60" s="83"/>
      <c r="AB60" s="250"/>
      <c r="AC60" s="43"/>
      <c r="AD60" s="9"/>
      <c r="AE60" s="46" t="s">
        <v>85</v>
      </c>
      <c r="AH60" s="47"/>
      <c r="AI60" s="47"/>
      <c r="AJ60" s="121"/>
      <c r="AK60" s="51"/>
      <c r="AL60" s="50"/>
      <c r="AM60" s="4"/>
      <c r="AN60" s="4"/>
      <c r="AO60" s="53"/>
      <c r="AP60" s="83"/>
      <c r="AQ60" s="250"/>
      <c r="AR60" s="43"/>
      <c r="AS60" s="9"/>
      <c r="AT60" s="46" t="s">
        <v>85</v>
      </c>
      <c r="AW60" s="47"/>
      <c r="AX60" s="47"/>
      <c r="AY60" s="121"/>
      <c r="AZ60" s="51"/>
      <c r="BA60" s="50"/>
      <c r="BB60" s="4"/>
      <c r="BC60" s="4"/>
      <c r="BD60" s="53"/>
      <c r="BE60" s="83"/>
      <c r="BF60" s="250"/>
      <c r="BG60" s="43"/>
      <c r="BH60" s="9"/>
      <c r="BI60" s="46" t="s">
        <v>85</v>
      </c>
      <c r="BL60" s="47"/>
      <c r="BM60" s="47"/>
      <c r="BN60" s="121"/>
      <c r="BO60" s="51"/>
      <c r="BP60" s="50"/>
      <c r="BQ60" s="4"/>
      <c r="BR60" s="4"/>
      <c r="BS60" s="53"/>
      <c r="BT60" s="83"/>
      <c r="BU60" s="250"/>
      <c r="BV60" s="43"/>
      <c r="BW60" s="9"/>
      <c r="BX60" s="46" t="s">
        <v>85</v>
      </c>
      <c r="CA60" s="47"/>
      <c r="CB60" s="47"/>
      <c r="CC60" s="48">
        <f>SUM(AJ60,U60,F60,AY60,BN60)</f>
        <v>0</v>
      </c>
      <c r="CD60" s="49"/>
      <c r="CE60" s="50"/>
      <c r="CF60" s="4"/>
      <c r="CG60" s="4"/>
      <c r="CH60" s="53"/>
      <c r="CI60" s="83"/>
      <c r="CJ60" s="250"/>
      <c r="CK60" s="43"/>
      <c r="CL60" s="9"/>
    </row>
    <row r="61" spans="1:90" ht="12" customHeight="1" x14ac:dyDescent="0.3">
      <c r="A61" s="46" t="s">
        <v>86</v>
      </c>
      <c r="B61" s="47"/>
      <c r="F61" s="121"/>
      <c r="G61" s="49"/>
      <c r="H61" s="50"/>
      <c r="I61" s="4"/>
      <c r="J61" s="4"/>
      <c r="K61" s="4"/>
      <c r="L61" s="83"/>
      <c r="M61" s="250"/>
      <c r="N61" s="178"/>
      <c r="O61" s="9"/>
      <c r="P61" s="46" t="s">
        <v>86</v>
      </c>
      <c r="S61" s="47"/>
      <c r="T61" s="47"/>
      <c r="U61" s="121"/>
      <c r="V61" s="51"/>
      <c r="W61" s="50"/>
      <c r="X61" s="4"/>
      <c r="Y61" s="4"/>
      <c r="Z61" s="53"/>
      <c r="AA61" s="83"/>
      <c r="AB61" s="250"/>
      <c r="AC61" s="43"/>
      <c r="AD61" s="9"/>
      <c r="AE61" s="46" t="s">
        <v>86</v>
      </c>
      <c r="AH61" s="47"/>
      <c r="AI61" s="47"/>
      <c r="AJ61" s="121"/>
      <c r="AK61" s="51"/>
      <c r="AL61" s="50"/>
      <c r="AM61" s="4"/>
      <c r="AN61" s="4"/>
      <c r="AO61" s="53"/>
      <c r="AP61" s="83"/>
      <c r="AQ61" s="250"/>
      <c r="AR61" s="43"/>
      <c r="AS61" s="9"/>
      <c r="AT61" s="46" t="s">
        <v>86</v>
      </c>
      <c r="AW61" s="47"/>
      <c r="AX61" s="47"/>
      <c r="AY61" s="121"/>
      <c r="AZ61" s="51"/>
      <c r="BA61" s="50"/>
      <c r="BB61" s="4"/>
      <c r="BC61" s="4"/>
      <c r="BD61" s="53"/>
      <c r="BE61" s="83"/>
      <c r="BF61" s="250"/>
      <c r="BG61" s="43"/>
      <c r="BH61" s="9"/>
      <c r="BI61" s="46" t="s">
        <v>86</v>
      </c>
      <c r="BL61" s="47"/>
      <c r="BM61" s="47"/>
      <c r="BN61" s="121"/>
      <c r="BO61" s="51"/>
      <c r="BP61" s="50"/>
      <c r="BQ61" s="4"/>
      <c r="BR61" s="4"/>
      <c r="BS61" s="53"/>
      <c r="BT61" s="83"/>
      <c r="BU61" s="250"/>
      <c r="BV61" s="43"/>
      <c r="BW61" s="9"/>
      <c r="BX61" s="46" t="s">
        <v>86</v>
      </c>
      <c r="CA61" s="47"/>
      <c r="CB61" s="47"/>
      <c r="CC61" s="48">
        <f>SUM(AJ61,U61,F61,AY61,BN61)</f>
        <v>0</v>
      </c>
      <c r="CD61" s="49"/>
      <c r="CE61" s="50"/>
      <c r="CF61" s="4"/>
      <c r="CG61" s="4"/>
      <c r="CH61" s="53"/>
      <c r="CI61" s="83"/>
      <c r="CJ61" s="250"/>
      <c r="CK61" s="43"/>
      <c r="CL61" s="9"/>
    </row>
    <row r="62" spans="1:90" ht="12" customHeight="1" x14ac:dyDescent="0.3">
      <c r="A62" s="46" t="s">
        <v>87</v>
      </c>
      <c r="B62" s="47"/>
      <c r="F62" s="121"/>
      <c r="G62" s="49"/>
      <c r="H62" s="50"/>
      <c r="I62" s="4"/>
      <c r="J62" s="4"/>
      <c r="K62" s="4"/>
      <c r="L62" s="83"/>
      <c r="M62" s="250"/>
      <c r="N62" s="178"/>
      <c r="O62" s="9"/>
      <c r="P62" s="46" t="s">
        <v>87</v>
      </c>
      <c r="S62" s="47"/>
      <c r="T62" s="47"/>
      <c r="U62" s="121"/>
      <c r="V62" s="51"/>
      <c r="W62" s="50"/>
      <c r="X62" s="4"/>
      <c r="Y62" s="4"/>
      <c r="Z62" s="53"/>
      <c r="AA62" s="83"/>
      <c r="AB62" s="250"/>
      <c r="AC62" s="43"/>
      <c r="AD62" s="9"/>
      <c r="AE62" s="46" t="s">
        <v>87</v>
      </c>
      <c r="AH62" s="47"/>
      <c r="AI62" s="47"/>
      <c r="AJ62" s="121"/>
      <c r="AK62" s="51"/>
      <c r="AL62" s="50"/>
      <c r="AM62" s="4"/>
      <c r="AN62" s="4"/>
      <c r="AO62" s="53"/>
      <c r="AP62" s="83"/>
      <c r="AQ62" s="250"/>
      <c r="AR62" s="43"/>
      <c r="AS62" s="9"/>
      <c r="AT62" s="46" t="s">
        <v>87</v>
      </c>
      <c r="AW62" s="47"/>
      <c r="AX62" s="47"/>
      <c r="AY62" s="121"/>
      <c r="AZ62" s="51"/>
      <c r="BA62" s="50"/>
      <c r="BB62" s="4"/>
      <c r="BC62" s="4"/>
      <c r="BD62" s="53"/>
      <c r="BE62" s="83"/>
      <c r="BF62" s="250"/>
      <c r="BG62" s="43"/>
      <c r="BH62" s="9"/>
      <c r="BI62" s="46" t="s">
        <v>87</v>
      </c>
      <c r="BL62" s="47"/>
      <c r="BM62" s="47"/>
      <c r="BN62" s="121"/>
      <c r="BO62" s="51"/>
      <c r="BP62" s="50"/>
      <c r="BQ62" s="4"/>
      <c r="BR62" s="4"/>
      <c r="BS62" s="53"/>
      <c r="BT62" s="83"/>
      <c r="BU62" s="250"/>
      <c r="BV62" s="43"/>
      <c r="BW62" s="9"/>
      <c r="BX62" s="46" t="s">
        <v>87</v>
      </c>
      <c r="CA62" s="47"/>
      <c r="CB62" s="47"/>
      <c r="CC62" s="48">
        <f>SUM(AJ62,U62,F62,AY62,BN62)</f>
        <v>0</v>
      </c>
      <c r="CD62" s="49"/>
      <c r="CE62" s="50"/>
      <c r="CF62" s="4"/>
      <c r="CG62" s="4"/>
      <c r="CH62" s="53"/>
      <c r="CI62" s="83"/>
      <c r="CJ62" s="250"/>
      <c r="CK62" s="43"/>
      <c r="CL62" s="9"/>
    </row>
    <row r="63" spans="1:90" ht="12" customHeight="1" x14ac:dyDescent="0.3">
      <c r="A63" s="14"/>
      <c r="I63" s="4"/>
      <c r="J63" s="4"/>
      <c r="K63" s="4"/>
      <c r="L63" s="84"/>
      <c r="M63" s="250"/>
      <c r="N63" s="178"/>
      <c r="O63" s="9"/>
      <c r="P63" s="14"/>
      <c r="X63" s="4"/>
      <c r="Y63" s="4"/>
      <c r="Z63" s="97"/>
      <c r="AA63" s="100"/>
      <c r="AB63" s="250"/>
      <c r="AC63" s="44"/>
      <c r="AD63" s="9"/>
      <c r="AE63" s="14"/>
      <c r="AM63" s="4"/>
      <c r="AN63" s="4"/>
      <c r="AO63" s="97"/>
      <c r="AP63" s="100"/>
      <c r="AQ63" s="250"/>
      <c r="AR63" s="44"/>
      <c r="AS63" s="9"/>
      <c r="AT63" s="14"/>
      <c r="BB63" s="4"/>
      <c r="BC63" s="4"/>
      <c r="BD63" s="97"/>
      <c r="BE63" s="100"/>
      <c r="BF63" s="250"/>
      <c r="BG63" s="44"/>
      <c r="BH63" s="9"/>
      <c r="BI63" s="14"/>
      <c r="BQ63" s="4"/>
      <c r="BR63" s="4"/>
      <c r="BS63" s="97"/>
      <c r="BT63" s="100"/>
      <c r="BU63" s="250"/>
      <c r="BV63" s="44"/>
      <c r="BW63" s="9"/>
      <c r="BX63" s="14"/>
      <c r="CF63" s="4"/>
      <c r="CG63" s="4"/>
      <c r="CH63" s="97"/>
      <c r="CI63" s="100"/>
      <c r="CJ63" s="250"/>
      <c r="CK63" s="44"/>
      <c r="CL63" s="9"/>
    </row>
    <row r="64" spans="1:90" ht="12" customHeight="1" x14ac:dyDescent="0.3">
      <c r="A64" s="18" t="s">
        <v>88</v>
      </c>
      <c r="B64" s="122"/>
      <c r="C64" s="19" t="s">
        <v>89</v>
      </c>
      <c r="D64" s="19"/>
      <c r="E64" s="19"/>
      <c r="F64" s="19"/>
      <c r="G64" s="19"/>
      <c r="H64" s="19"/>
      <c r="I64" s="22"/>
      <c r="J64" s="22"/>
      <c r="K64" s="22"/>
      <c r="L64" s="82"/>
      <c r="M64" s="248">
        <f>SUM(F59:F62)</f>
        <v>0</v>
      </c>
      <c r="N64" s="176"/>
      <c r="O64" s="9"/>
      <c r="P64" s="18" t="s">
        <v>88</v>
      </c>
      <c r="Q64" s="122"/>
      <c r="R64" s="19" t="s">
        <v>89</v>
      </c>
      <c r="S64" s="19"/>
      <c r="T64" s="19"/>
      <c r="U64" s="19"/>
      <c r="V64" s="19"/>
      <c r="W64" s="19"/>
      <c r="X64" s="22"/>
      <c r="Y64" s="22"/>
      <c r="Z64" s="96"/>
      <c r="AA64" s="101"/>
      <c r="AB64" s="248">
        <f>SUM(U59:U62)</f>
        <v>0</v>
      </c>
      <c r="AC64" s="38"/>
      <c r="AD64" s="9"/>
      <c r="AE64" s="18" t="s">
        <v>88</v>
      </c>
      <c r="AF64" s="122"/>
      <c r="AG64" s="19" t="s">
        <v>89</v>
      </c>
      <c r="AH64" s="19"/>
      <c r="AI64" s="19"/>
      <c r="AJ64" s="19"/>
      <c r="AK64" s="19"/>
      <c r="AL64" s="19"/>
      <c r="AM64" s="22"/>
      <c r="AN64" s="22"/>
      <c r="AO64" s="96"/>
      <c r="AP64" s="101"/>
      <c r="AQ64" s="248">
        <f>SUM(AJ59:AJ62)</f>
        <v>0</v>
      </c>
      <c r="AR64" s="38"/>
      <c r="AS64" s="9"/>
      <c r="AT64" s="18" t="s">
        <v>88</v>
      </c>
      <c r="AU64" s="122"/>
      <c r="AV64" s="19" t="s">
        <v>89</v>
      </c>
      <c r="AW64" s="19"/>
      <c r="AX64" s="19"/>
      <c r="AY64" s="19"/>
      <c r="AZ64" s="19"/>
      <c r="BA64" s="19"/>
      <c r="BB64" s="22"/>
      <c r="BC64" s="22"/>
      <c r="BD64" s="96"/>
      <c r="BE64" s="101"/>
      <c r="BF64" s="248">
        <f>SUM(AY59:AY62)</f>
        <v>0</v>
      </c>
      <c r="BG64" s="38"/>
      <c r="BH64" s="9"/>
      <c r="BI64" s="18" t="s">
        <v>88</v>
      </c>
      <c r="BJ64" s="122"/>
      <c r="BK64" s="19" t="s">
        <v>89</v>
      </c>
      <c r="BL64" s="19"/>
      <c r="BM64" s="19"/>
      <c r="BN64" s="19"/>
      <c r="BO64" s="19"/>
      <c r="BP64" s="19"/>
      <c r="BQ64" s="22"/>
      <c r="BR64" s="22"/>
      <c r="BS64" s="96"/>
      <c r="BT64" s="101"/>
      <c r="BU64" s="248">
        <f>SUM(BN59:BN62)</f>
        <v>0</v>
      </c>
      <c r="BV64" s="38"/>
      <c r="BW64" s="9"/>
      <c r="BX64" s="18" t="s">
        <v>88</v>
      </c>
      <c r="BY64" s="19"/>
      <c r="BZ64" s="19" t="s">
        <v>89</v>
      </c>
      <c r="CA64" s="19"/>
      <c r="CB64" s="19"/>
      <c r="CC64" s="19"/>
      <c r="CD64" s="19"/>
      <c r="CE64" s="19"/>
      <c r="CF64" s="22"/>
      <c r="CG64" s="22"/>
      <c r="CH64" s="96"/>
      <c r="CI64" s="101"/>
      <c r="CJ64" s="248">
        <f>AQ64+AB64+M64+BF64+BU64</f>
        <v>0</v>
      </c>
      <c r="CK64" s="38"/>
      <c r="CL64" s="9"/>
    </row>
    <row r="65" spans="1:90" ht="12" customHeight="1" x14ac:dyDescent="0.3">
      <c r="A65" s="18" t="s">
        <v>90</v>
      </c>
      <c r="B65" s="19"/>
      <c r="C65" s="19"/>
      <c r="D65" s="19"/>
      <c r="E65" s="19"/>
      <c r="F65" s="19"/>
      <c r="G65" s="19"/>
      <c r="H65" s="19"/>
      <c r="I65" s="22"/>
      <c r="J65" s="22"/>
      <c r="K65" s="22"/>
      <c r="L65" s="82"/>
      <c r="M65" s="249"/>
      <c r="N65" s="177"/>
      <c r="O65" s="9"/>
      <c r="P65" s="18" t="s">
        <v>90</v>
      </c>
      <c r="Q65" s="19"/>
      <c r="R65" s="19"/>
      <c r="S65" s="19"/>
      <c r="T65" s="19"/>
      <c r="U65" s="19"/>
      <c r="V65" s="19"/>
      <c r="W65" s="19"/>
      <c r="X65" s="22"/>
      <c r="Y65" s="22"/>
      <c r="Z65" s="96"/>
      <c r="AA65" s="101"/>
      <c r="AB65" s="249"/>
      <c r="AC65" s="40"/>
      <c r="AD65" s="9"/>
      <c r="AE65" s="18" t="s">
        <v>90</v>
      </c>
      <c r="AF65" s="19"/>
      <c r="AG65" s="19"/>
      <c r="AH65" s="19"/>
      <c r="AI65" s="19"/>
      <c r="AJ65" s="19"/>
      <c r="AK65" s="19"/>
      <c r="AL65" s="19"/>
      <c r="AM65" s="22"/>
      <c r="AN65" s="22"/>
      <c r="AO65" s="96"/>
      <c r="AP65" s="101"/>
      <c r="AQ65" s="249"/>
      <c r="AR65" s="40"/>
      <c r="AS65" s="9"/>
      <c r="AT65" s="18" t="s">
        <v>90</v>
      </c>
      <c r="AU65" s="19"/>
      <c r="AV65" s="19"/>
      <c r="AW65" s="19"/>
      <c r="AX65" s="19"/>
      <c r="AY65" s="19"/>
      <c r="AZ65" s="19"/>
      <c r="BA65" s="19"/>
      <c r="BB65" s="22"/>
      <c r="BC65" s="22"/>
      <c r="BD65" s="96"/>
      <c r="BE65" s="101"/>
      <c r="BF65" s="249"/>
      <c r="BG65" s="40"/>
      <c r="BH65" s="9"/>
      <c r="BI65" s="18" t="s">
        <v>90</v>
      </c>
      <c r="BJ65" s="19"/>
      <c r="BK65" s="19"/>
      <c r="BL65" s="19"/>
      <c r="BM65" s="19"/>
      <c r="BN65" s="19"/>
      <c r="BO65" s="19"/>
      <c r="BP65" s="19"/>
      <c r="BQ65" s="22"/>
      <c r="BR65" s="22"/>
      <c r="BS65" s="96"/>
      <c r="BT65" s="101"/>
      <c r="BU65" s="249"/>
      <c r="BV65" s="40"/>
      <c r="BW65" s="9"/>
      <c r="BX65" s="18" t="s">
        <v>90</v>
      </c>
      <c r="BY65" s="19"/>
      <c r="BZ65" s="19"/>
      <c r="CA65" s="19"/>
      <c r="CB65" s="19"/>
      <c r="CC65" s="19"/>
      <c r="CD65" s="19"/>
      <c r="CE65" s="19"/>
      <c r="CF65" s="22"/>
      <c r="CG65" s="22"/>
      <c r="CH65" s="96"/>
      <c r="CI65" s="101"/>
      <c r="CJ65" s="249"/>
      <c r="CK65" s="40"/>
      <c r="CL65" s="9"/>
    </row>
    <row r="66" spans="1:90" ht="12" customHeight="1" x14ac:dyDescent="0.3">
      <c r="A66" s="26" t="s">
        <v>91</v>
      </c>
      <c r="B66" s="19"/>
      <c r="C66" s="19"/>
      <c r="D66" s="19"/>
      <c r="E66" s="19"/>
      <c r="F66" s="19"/>
      <c r="G66" s="19"/>
      <c r="H66" s="19"/>
      <c r="I66" s="22"/>
      <c r="J66" s="22"/>
      <c r="K66" s="22"/>
      <c r="L66" s="82"/>
      <c r="M66" s="247"/>
      <c r="N66" s="176"/>
      <c r="O66" s="9"/>
      <c r="P66" s="26" t="s">
        <v>91</v>
      </c>
      <c r="Q66" s="19"/>
      <c r="R66" s="19"/>
      <c r="S66" s="19"/>
      <c r="T66" s="19"/>
      <c r="U66" s="19"/>
      <c r="V66" s="19"/>
      <c r="W66" s="19"/>
      <c r="X66" s="22"/>
      <c r="Y66" s="22"/>
      <c r="Z66" s="96"/>
      <c r="AA66" s="95"/>
      <c r="AB66" s="247"/>
      <c r="AC66" s="38"/>
      <c r="AD66" s="9"/>
      <c r="AE66" s="26" t="s">
        <v>91</v>
      </c>
      <c r="AF66" s="19"/>
      <c r="AG66" s="19"/>
      <c r="AH66" s="19"/>
      <c r="AI66" s="19"/>
      <c r="AJ66" s="19"/>
      <c r="AK66" s="19"/>
      <c r="AL66" s="19"/>
      <c r="AM66" s="22"/>
      <c r="AN66" s="22"/>
      <c r="AO66" s="96"/>
      <c r="AP66" s="95"/>
      <c r="AQ66" s="247"/>
      <c r="AR66" s="38"/>
      <c r="AS66" s="9"/>
      <c r="AT66" s="26" t="s">
        <v>91</v>
      </c>
      <c r="AU66" s="19"/>
      <c r="AV66" s="19"/>
      <c r="AW66" s="19"/>
      <c r="AX66" s="19"/>
      <c r="AY66" s="19"/>
      <c r="AZ66" s="19"/>
      <c r="BA66" s="19"/>
      <c r="BB66" s="22"/>
      <c r="BC66" s="22"/>
      <c r="BD66" s="96"/>
      <c r="BE66" s="95"/>
      <c r="BF66" s="247"/>
      <c r="BG66" s="38"/>
      <c r="BH66" s="9"/>
      <c r="BI66" s="26" t="s">
        <v>91</v>
      </c>
      <c r="BJ66" s="19"/>
      <c r="BK66" s="19"/>
      <c r="BL66" s="19"/>
      <c r="BM66" s="19"/>
      <c r="BN66" s="19"/>
      <c r="BO66" s="19"/>
      <c r="BP66" s="19"/>
      <c r="BQ66" s="22"/>
      <c r="BR66" s="22"/>
      <c r="BS66" s="96"/>
      <c r="BT66" s="95"/>
      <c r="BU66" s="247"/>
      <c r="BV66" s="38"/>
      <c r="BW66" s="9"/>
      <c r="BX66" s="26" t="s">
        <v>91</v>
      </c>
      <c r="BY66" s="19"/>
      <c r="BZ66" s="19"/>
      <c r="CA66" s="19"/>
      <c r="CB66" s="19"/>
      <c r="CC66" s="19"/>
      <c r="CD66" s="19"/>
      <c r="CE66" s="19"/>
      <c r="CF66" s="22"/>
      <c r="CG66" s="22"/>
      <c r="CH66" s="96"/>
      <c r="CI66" s="95"/>
      <c r="CJ66" s="248">
        <f t="shared" ref="CJ66:CJ73" si="18">AQ66+AB66+M66+BF66+BU66</f>
        <v>0</v>
      </c>
      <c r="CK66" s="38"/>
      <c r="CL66" s="9"/>
    </row>
    <row r="67" spans="1:90" ht="12" customHeight="1" x14ac:dyDescent="0.3">
      <c r="A67" s="26" t="s">
        <v>92</v>
      </c>
      <c r="B67" s="19"/>
      <c r="C67" s="19"/>
      <c r="D67" s="19"/>
      <c r="E67" s="19"/>
      <c r="F67" s="19"/>
      <c r="G67" s="19"/>
      <c r="H67" s="19"/>
      <c r="I67" s="22"/>
      <c r="J67" s="22"/>
      <c r="K67" s="22"/>
      <c r="L67" s="82"/>
      <c r="M67" s="247"/>
      <c r="N67" s="176"/>
      <c r="O67" s="9"/>
      <c r="P67" s="26" t="s">
        <v>92</v>
      </c>
      <c r="Q67" s="19"/>
      <c r="R67" s="19"/>
      <c r="S67" s="19"/>
      <c r="T67" s="19"/>
      <c r="U67" s="19"/>
      <c r="V67" s="19"/>
      <c r="W67" s="19"/>
      <c r="X67" s="22"/>
      <c r="Y67" s="22"/>
      <c r="Z67" s="96"/>
      <c r="AA67" s="95"/>
      <c r="AB67" s="247"/>
      <c r="AC67" s="38"/>
      <c r="AD67" s="9"/>
      <c r="AE67" s="26" t="s">
        <v>92</v>
      </c>
      <c r="AF67" s="19"/>
      <c r="AG67" s="19"/>
      <c r="AH67" s="19"/>
      <c r="AI67" s="19"/>
      <c r="AJ67" s="19"/>
      <c r="AK67" s="19"/>
      <c r="AL67" s="19"/>
      <c r="AM67" s="22"/>
      <c r="AN67" s="22"/>
      <c r="AO67" s="96"/>
      <c r="AP67" s="95"/>
      <c r="AQ67" s="247"/>
      <c r="AR67" s="38"/>
      <c r="AS67" s="9"/>
      <c r="AT67" s="26" t="s">
        <v>92</v>
      </c>
      <c r="AU67" s="19"/>
      <c r="AV67" s="19"/>
      <c r="AW67" s="19"/>
      <c r="AX67" s="19"/>
      <c r="AY67" s="19"/>
      <c r="AZ67" s="19"/>
      <c r="BA67" s="19"/>
      <c r="BB67" s="22"/>
      <c r="BC67" s="22"/>
      <c r="BD67" s="96"/>
      <c r="BE67" s="95"/>
      <c r="BF67" s="247"/>
      <c r="BG67" s="38"/>
      <c r="BH67" s="9"/>
      <c r="BI67" s="26" t="s">
        <v>92</v>
      </c>
      <c r="BJ67" s="19"/>
      <c r="BK67" s="19"/>
      <c r="BL67" s="19"/>
      <c r="BM67" s="19"/>
      <c r="BN67" s="19"/>
      <c r="BO67" s="19"/>
      <c r="BP67" s="19"/>
      <c r="BQ67" s="22"/>
      <c r="BR67" s="22"/>
      <c r="BS67" s="96"/>
      <c r="BT67" s="95"/>
      <c r="BU67" s="247"/>
      <c r="BV67" s="38"/>
      <c r="BW67" s="9"/>
      <c r="BX67" s="26" t="s">
        <v>92</v>
      </c>
      <c r="BY67" s="19"/>
      <c r="BZ67" s="19"/>
      <c r="CA67" s="19"/>
      <c r="CB67" s="19"/>
      <c r="CC67" s="19"/>
      <c r="CD67" s="19"/>
      <c r="CE67" s="19"/>
      <c r="CF67" s="22"/>
      <c r="CG67" s="22"/>
      <c r="CH67" s="96"/>
      <c r="CI67" s="95"/>
      <c r="CJ67" s="248">
        <f t="shared" si="18"/>
        <v>0</v>
      </c>
      <c r="CK67" s="38"/>
      <c r="CL67" s="9"/>
    </row>
    <row r="68" spans="1:90" ht="12" customHeight="1" x14ac:dyDescent="0.3">
      <c r="A68" s="26" t="s">
        <v>93</v>
      </c>
      <c r="B68" s="19"/>
      <c r="C68" s="19"/>
      <c r="D68" s="19"/>
      <c r="E68" s="19"/>
      <c r="F68" s="140" t="s">
        <v>124</v>
      </c>
      <c r="G68" s="140"/>
      <c r="H68" s="140"/>
      <c r="I68" s="140"/>
      <c r="J68" s="140"/>
      <c r="K68" s="22"/>
      <c r="L68" s="82"/>
      <c r="M68" s="247"/>
      <c r="N68" s="176"/>
      <c r="O68" s="9"/>
      <c r="P68" s="26" t="s">
        <v>93</v>
      </c>
      <c r="Q68" s="19"/>
      <c r="R68" s="19"/>
      <c r="S68" s="19"/>
      <c r="T68" s="19"/>
      <c r="U68" s="19"/>
      <c r="V68" s="19"/>
      <c r="W68" s="19"/>
      <c r="X68" s="22"/>
      <c r="Y68" s="22"/>
      <c r="Z68" s="96"/>
      <c r="AA68" s="95"/>
      <c r="AB68" s="247"/>
      <c r="AC68" s="38"/>
      <c r="AD68" s="9"/>
      <c r="AE68" s="26" t="s">
        <v>93</v>
      </c>
      <c r="AF68" s="19"/>
      <c r="AG68" s="19"/>
      <c r="AH68" s="19"/>
      <c r="AI68" s="19"/>
      <c r="AJ68" s="19"/>
      <c r="AK68" s="19"/>
      <c r="AL68" s="19"/>
      <c r="AM68" s="22"/>
      <c r="AN68" s="22"/>
      <c r="AO68" s="96"/>
      <c r="AP68" s="95"/>
      <c r="AQ68" s="247"/>
      <c r="AR68" s="38"/>
      <c r="AS68" s="9"/>
      <c r="AT68" s="26" t="s">
        <v>93</v>
      </c>
      <c r="AU68" s="19"/>
      <c r="AV68" s="19"/>
      <c r="AW68" s="19"/>
      <c r="AX68" s="19"/>
      <c r="AY68" s="19"/>
      <c r="AZ68" s="19"/>
      <c r="BA68" s="19"/>
      <c r="BB68" s="22"/>
      <c r="BC68" s="22"/>
      <c r="BD68" s="96"/>
      <c r="BE68" s="95"/>
      <c r="BF68" s="247"/>
      <c r="BG68" s="38"/>
      <c r="BH68" s="9"/>
      <c r="BI68" s="26" t="s">
        <v>93</v>
      </c>
      <c r="BJ68" s="19"/>
      <c r="BK68" s="19"/>
      <c r="BL68" s="19"/>
      <c r="BM68" s="19"/>
      <c r="BN68" s="19"/>
      <c r="BO68" s="19"/>
      <c r="BP68" s="19"/>
      <c r="BQ68" s="22"/>
      <c r="BR68" s="22"/>
      <c r="BS68" s="96"/>
      <c r="BT68" s="95"/>
      <c r="BU68" s="247"/>
      <c r="BV68" s="38"/>
      <c r="BW68" s="9"/>
      <c r="BX68" s="26" t="s">
        <v>93</v>
      </c>
      <c r="BY68" s="19"/>
      <c r="BZ68" s="19"/>
      <c r="CA68" s="19"/>
      <c r="CB68" s="19"/>
      <c r="CC68" s="19"/>
      <c r="CD68" s="19"/>
      <c r="CE68" s="19"/>
      <c r="CF68" s="22"/>
      <c r="CG68" s="22"/>
      <c r="CH68" s="96"/>
      <c r="CI68" s="95"/>
      <c r="CJ68" s="248">
        <f t="shared" si="18"/>
        <v>0</v>
      </c>
      <c r="CK68" s="38"/>
      <c r="CL68" s="9"/>
    </row>
    <row r="69" spans="1:90" ht="12" customHeight="1" x14ac:dyDescent="0.3">
      <c r="A69" s="42" t="s">
        <v>94</v>
      </c>
      <c r="B69" s="19"/>
      <c r="C69" s="19"/>
      <c r="D69" s="19"/>
      <c r="E69" s="19"/>
      <c r="F69" s="19"/>
      <c r="G69" s="19"/>
      <c r="H69" s="19"/>
      <c r="I69" s="22"/>
      <c r="J69" s="22"/>
      <c r="K69" s="22"/>
      <c r="L69" s="82"/>
      <c r="M69" s="247"/>
      <c r="N69" s="176"/>
      <c r="O69" s="9"/>
      <c r="P69" s="42" t="s">
        <v>94</v>
      </c>
      <c r="Q69" s="19"/>
      <c r="R69" s="19"/>
      <c r="S69" s="19"/>
      <c r="T69" s="19"/>
      <c r="U69" s="19"/>
      <c r="V69" s="19"/>
      <c r="W69" s="19"/>
      <c r="X69" s="22"/>
      <c r="Y69" s="22"/>
      <c r="Z69" s="96"/>
      <c r="AA69" s="95"/>
      <c r="AB69" s="247"/>
      <c r="AC69" s="38"/>
      <c r="AD69" s="9"/>
      <c r="AE69" s="42" t="s">
        <v>94</v>
      </c>
      <c r="AF69" s="19"/>
      <c r="AG69" s="19"/>
      <c r="AH69" s="19"/>
      <c r="AI69" s="19"/>
      <c r="AJ69" s="19"/>
      <c r="AK69" s="19"/>
      <c r="AL69" s="19"/>
      <c r="AM69" s="22"/>
      <c r="AN69" s="22"/>
      <c r="AO69" s="96"/>
      <c r="AP69" s="95"/>
      <c r="AQ69" s="247"/>
      <c r="AR69" s="38"/>
      <c r="AS69" s="9"/>
      <c r="AT69" s="42" t="s">
        <v>94</v>
      </c>
      <c r="AU69" s="19"/>
      <c r="AV69" s="19"/>
      <c r="AW69" s="19"/>
      <c r="AX69" s="19"/>
      <c r="AY69" s="19"/>
      <c r="AZ69" s="19"/>
      <c r="BA69" s="19"/>
      <c r="BB69" s="22"/>
      <c r="BC69" s="22"/>
      <c r="BD69" s="96"/>
      <c r="BE69" s="95"/>
      <c r="BF69" s="247"/>
      <c r="BG69" s="38"/>
      <c r="BH69" s="9"/>
      <c r="BI69" s="42" t="s">
        <v>94</v>
      </c>
      <c r="BJ69" s="19"/>
      <c r="BK69" s="19"/>
      <c r="BL69" s="19"/>
      <c r="BM69" s="19"/>
      <c r="BN69" s="19"/>
      <c r="BO69" s="19"/>
      <c r="BP69" s="19"/>
      <c r="BQ69" s="22"/>
      <c r="BR69" s="22"/>
      <c r="BS69" s="96"/>
      <c r="BT69" s="95"/>
      <c r="BU69" s="247"/>
      <c r="BV69" s="38"/>
      <c r="BW69" s="9"/>
      <c r="BX69" s="42" t="s">
        <v>94</v>
      </c>
      <c r="BY69" s="19"/>
      <c r="BZ69" s="19"/>
      <c r="CA69" s="19"/>
      <c r="CB69" s="19"/>
      <c r="CC69" s="19"/>
      <c r="CD69" s="19"/>
      <c r="CE69" s="19"/>
      <c r="CF69" s="22"/>
      <c r="CG69" s="22"/>
      <c r="CH69" s="96"/>
      <c r="CI69" s="95"/>
      <c r="CJ69" s="248">
        <f t="shared" si="18"/>
        <v>0</v>
      </c>
      <c r="CK69" s="38"/>
      <c r="CL69" s="9"/>
    </row>
    <row r="70" spans="1:90" ht="12" customHeight="1" x14ac:dyDescent="0.3">
      <c r="A70" s="42" t="s">
        <v>95</v>
      </c>
      <c r="B70" s="19"/>
      <c r="C70" s="19"/>
      <c r="D70" s="19"/>
      <c r="E70" s="19"/>
      <c r="F70" s="19"/>
      <c r="G70" s="19"/>
      <c r="H70" s="19"/>
      <c r="I70" s="22"/>
      <c r="J70" s="22"/>
      <c r="K70" s="105" t="s">
        <v>96</v>
      </c>
      <c r="L70" s="123"/>
      <c r="M70" s="247"/>
      <c r="N70" s="176"/>
      <c r="O70" s="9"/>
      <c r="P70" s="42" t="s">
        <v>95</v>
      </c>
      <c r="Q70" s="19"/>
      <c r="R70" s="19"/>
      <c r="S70" s="19"/>
      <c r="T70" s="19"/>
      <c r="U70" s="19"/>
      <c r="V70" s="19"/>
      <c r="W70" s="19"/>
      <c r="X70" s="22"/>
      <c r="Y70" s="22"/>
      <c r="Z70" s="105" t="s">
        <v>96</v>
      </c>
      <c r="AA70" s="123">
        <v>0</v>
      </c>
      <c r="AB70" s="247"/>
      <c r="AC70" s="38"/>
      <c r="AD70" s="9"/>
      <c r="AE70" s="42" t="s">
        <v>95</v>
      </c>
      <c r="AF70" s="19"/>
      <c r="AG70" s="19"/>
      <c r="AH70" s="19"/>
      <c r="AI70" s="19"/>
      <c r="AJ70" s="19"/>
      <c r="AK70" s="19"/>
      <c r="AL70" s="19"/>
      <c r="AM70" s="22"/>
      <c r="AN70" s="22"/>
      <c r="AO70" s="105" t="s">
        <v>96</v>
      </c>
      <c r="AP70" s="123">
        <v>0</v>
      </c>
      <c r="AQ70" s="247"/>
      <c r="AR70" s="38"/>
      <c r="AS70" s="9"/>
      <c r="AT70" s="42" t="s">
        <v>95</v>
      </c>
      <c r="AU70" s="19"/>
      <c r="AV70" s="19"/>
      <c r="AW70" s="19"/>
      <c r="AX70" s="19"/>
      <c r="AY70" s="19"/>
      <c r="AZ70" s="19"/>
      <c r="BA70" s="19"/>
      <c r="BB70" s="22"/>
      <c r="BC70" s="22"/>
      <c r="BD70" s="105" t="s">
        <v>96</v>
      </c>
      <c r="BE70" s="123">
        <v>0</v>
      </c>
      <c r="BF70" s="247"/>
      <c r="BG70" s="38"/>
      <c r="BH70" s="9"/>
      <c r="BI70" s="42" t="s">
        <v>95</v>
      </c>
      <c r="BJ70" s="19"/>
      <c r="BK70" s="19"/>
      <c r="BL70" s="19"/>
      <c r="BM70" s="19"/>
      <c r="BN70" s="19"/>
      <c r="BO70" s="19"/>
      <c r="BP70" s="19"/>
      <c r="BQ70" s="22"/>
      <c r="BR70" s="22"/>
      <c r="BS70" s="105" t="s">
        <v>96</v>
      </c>
      <c r="BT70" s="123">
        <v>0</v>
      </c>
      <c r="BU70" s="247"/>
      <c r="BV70" s="38"/>
      <c r="BW70" s="9"/>
      <c r="BX70" s="42" t="s">
        <v>95</v>
      </c>
      <c r="BY70" s="19"/>
      <c r="BZ70" s="19"/>
      <c r="CA70" s="19"/>
      <c r="CB70" s="19"/>
      <c r="CC70" s="19"/>
      <c r="CD70" s="19"/>
      <c r="CE70" s="19"/>
      <c r="CF70" s="22"/>
      <c r="CG70" s="22"/>
      <c r="CH70" s="105" t="s">
        <v>96</v>
      </c>
      <c r="CI70" s="104">
        <f>L70+AA70+AP70+BE70+BT70</f>
        <v>0</v>
      </c>
      <c r="CJ70" s="248">
        <f t="shared" si="18"/>
        <v>0</v>
      </c>
      <c r="CK70" s="38"/>
      <c r="CL70" s="9"/>
    </row>
    <row r="71" spans="1:90" ht="12" customHeight="1" x14ac:dyDescent="0.3">
      <c r="A71" s="26" t="s">
        <v>97</v>
      </c>
      <c r="B71" s="19"/>
      <c r="C71" s="19"/>
      <c r="D71" s="19"/>
      <c r="E71" s="413" t="s">
        <v>121</v>
      </c>
      <c r="F71" s="413"/>
      <c r="G71" s="413"/>
      <c r="H71" s="122"/>
      <c r="I71" s="22"/>
      <c r="J71" s="22"/>
      <c r="K71" s="108" t="s">
        <v>98</v>
      </c>
      <c r="L71" s="157">
        <f>Tuition!K6+Tuition!K26+Tuition!K46+Tuition!K67+Tuition!K87</f>
        <v>15946</v>
      </c>
      <c r="M71" s="247">
        <f>H71+L71</f>
        <v>15946</v>
      </c>
      <c r="N71" s="176"/>
      <c r="O71" s="9"/>
      <c r="P71" s="26" t="s">
        <v>97</v>
      </c>
      <c r="Q71" s="19"/>
      <c r="R71" s="19"/>
      <c r="S71" s="19"/>
      <c r="T71" s="413" t="s">
        <v>121</v>
      </c>
      <c r="U71" s="413"/>
      <c r="V71" s="413"/>
      <c r="W71" s="122"/>
      <c r="X71" s="22"/>
      <c r="Y71" s="22"/>
      <c r="Z71" s="108" t="s">
        <v>98</v>
      </c>
      <c r="AA71" s="158">
        <f>Tuition!M6+Tuition!M26+Tuition!M46+Tuition!M67+Tuition!M87</f>
        <v>16584</v>
      </c>
      <c r="AB71" s="247">
        <f>+AA71+W71</f>
        <v>16584</v>
      </c>
      <c r="AC71" s="38"/>
      <c r="AD71" s="9"/>
      <c r="AE71" s="26" t="s">
        <v>97</v>
      </c>
      <c r="AF71" s="19"/>
      <c r="AG71" s="19"/>
      <c r="AH71" s="19"/>
      <c r="AI71" s="413" t="s">
        <v>121</v>
      </c>
      <c r="AJ71" s="413"/>
      <c r="AK71" s="413"/>
      <c r="AL71" s="122"/>
      <c r="AM71" s="22"/>
      <c r="AN71" s="22"/>
      <c r="AO71" s="108" t="s">
        <v>98</v>
      </c>
      <c r="AP71" s="158">
        <f>Tuition!O6+Tuition!O26+Tuition!O46+Tuition!O67+Tuition!O87</f>
        <v>34495</v>
      </c>
      <c r="AQ71" s="247">
        <f>+AP71+AL71</f>
        <v>34495</v>
      </c>
      <c r="AR71" s="38"/>
      <c r="AS71" s="9"/>
      <c r="AT71" s="26" t="s">
        <v>97</v>
      </c>
      <c r="AU71" s="19"/>
      <c r="AV71" s="19"/>
      <c r="AW71" s="19"/>
      <c r="AX71" s="413" t="s">
        <v>121</v>
      </c>
      <c r="AY71" s="413"/>
      <c r="AZ71" s="413"/>
      <c r="BA71" s="122"/>
      <c r="BB71" s="22"/>
      <c r="BC71" s="22"/>
      <c r="BD71" s="108" t="s">
        <v>98</v>
      </c>
      <c r="BE71" s="158">
        <f>Tuition!Q6+Tuition!Q26+Tuition!Q46+Tuition!Q67+Tuition!Q87</f>
        <v>35875</v>
      </c>
      <c r="BF71" s="247">
        <f>+BE71+BA71</f>
        <v>35875</v>
      </c>
      <c r="BG71" s="38"/>
      <c r="BH71" s="9"/>
      <c r="BI71" s="26" t="s">
        <v>97</v>
      </c>
      <c r="BJ71" s="19"/>
      <c r="BK71" s="19"/>
      <c r="BL71" s="19"/>
      <c r="BM71" s="413" t="s">
        <v>121</v>
      </c>
      <c r="BN71" s="413"/>
      <c r="BO71" s="413"/>
      <c r="BP71" s="122"/>
      <c r="BQ71" s="22"/>
      <c r="BR71" s="22"/>
      <c r="BS71" s="108" t="s">
        <v>98</v>
      </c>
      <c r="BT71" s="158">
        <f>Tuition!S6+Tuition!S26+Tuition!S46+Tuition!S67+Tuition!S87</f>
        <v>0</v>
      </c>
      <c r="BU71" s="247">
        <f>+BT71+BP71</f>
        <v>0</v>
      </c>
      <c r="BV71" s="38"/>
      <c r="BW71" s="9"/>
      <c r="BX71" s="26" t="s">
        <v>97</v>
      </c>
      <c r="BY71" s="19"/>
      <c r="BZ71" s="19"/>
      <c r="CA71" s="19"/>
      <c r="CB71" s="19"/>
      <c r="CC71" s="19"/>
      <c r="CD71" s="19"/>
      <c r="CE71" s="19"/>
      <c r="CF71" s="22"/>
      <c r="CG71" s="22"/>
      <c r="CH71" s="108" t="s">
        <v>98</v>
      </c>
      <c r="CI71" s="109">
        <f>ROUND(AP71,0)+ROUND(AA71,0)+ROUND(L71,0)+ROUND(BE71,0)+ROUND(BT71,0)</f>
        <v>102900</v>
      </c>
      <c r="CJ71" s="248">
        <f t="shared" si="18"/>
        <v>102900</v>
      </c>
      <c r="CK71" s="38"/>
      <c r="CL71" s="9"/>
    </row>
    <row r="72" spans="1:90" ht="12" customHeight="1" x14ac:dyDescent="0.3">
      <c r="A72" s="18"/>
      <c r="B72" s="19"/>
      <c r="C72" s="19"/>
      <c r="D72" s="19"/>
      <c r="E72" s="19" t="s">
        <v>99</v>
      </c>
      <c r="F72" s="19"/>
      <c r="G72" s="19"/>
      <c r="H72" s="19"/>
      <c r="I72" s="22"/>
      <c r="J72" s="22"/>
      <c r="K72" s="22"/>
      <c r="L72" s="82"/>
      <c r="M72" s="248">
        <f>SUM(M66:M71)</f>
        <v>15946</v>
      </c>
      <c r="N72" s="176"/>
      <c r="O72" s="9"/>
      <c r="P72" s="18"/>
      <c r="Q72" s="19"/>
      <c r="R72" s="19"/>
      <c r="S72" s="19"/>
      <c r="T72" s="19" t="s">
        <v>99</v>
      </c>
      <c r="U72" s="19"/>
      <c r="V72" s="19"/>
      <c r="W72" s="19"/>
      <c r="X72" s="22"/>
      <c r="Y72" s="22"/>
      <c r="Z72" s="96"/>
      <c r="AA72" s="95"/>
      <c r="AB72" s="248">
        <f>SUM(AB66:AB71)</f>
        <v>16584</v>
      </c>
      <c r="AC72" s="38"/>
      <c r="AD72" s="9"/>
      <c r="AE72" s="18"/>
      <c r="AF72" s="19"/>
      <c r="AG72" s="19"/>
      <c r="AH72" s="19"/>
      <c r="AI72" s="19" t="s">
        <v>99</v>
      </c>
      <c r="AJ72" s="19"/>
      <c r="AK72" s="19"/>
      <c r="AL72" s="19"/>
      <c r="AM72" s="22"/>
      <c r="AN72" s="22"/>
      <c r="AO72" s="96"/>
      <c r="AP72" s="95"/>
      <c r="AQ72" s="248">
        <f>SUM(AQ66:AQ71)</f>
        <v>34495</v>
      </c>
      <c r="AR72" s="38"/>
      <c r="AS72" s="9"/>
      <c r="AT72" s="18"/>
      <c r="AU72" s="19"/>
      <c r="AV72" s="19"/>
      <c r="AW72" s="19"/>
      <c r="AX72" s="19" t="s">
        <v>99</v>
      </c>
      <c r="AY72" s="19"/>
      <c r="AZ72" s="19"/>
      <c r="BA72" s="19"/>
      <c r="BB72" s="22"/>
      <c r="BC72" s="22"/>
      <c r="BD72" s="96"/>
      <c r="BE72" s="95"/>
      <c r="BF72" s="248">
        <f>SUM(BF66:BF71)</f>
        <v>35875</v>
      </c>
      <c r="BG72" s="38"/>
      <c r="BH72" s="9"/>
      <c r="BI72" s="18"/>
      <c r="BJ72" s="19"/>
      <c r="BK72" s="19"/>
      <c r="BL72" s="19"/>
      <c r="BM72" s="19" t="s">
        <v>99</v>
      </c>
      <c r="BN72" s="19"/>
      <c r="BO72" s="19"/>
      <c r="BP72" s="19"/>
      <c r="BQ72" s="22"/>
      <c r="BR72" s="22"/>
      <c r="BS72" s="96"/>
      <c r="BT72" s="95"/>
      <c r="BU72" s="248">
        <f>SUM(BU66:BU71)</f>
        <v>0</v>
      </c>
      <c r="BV72" s="38"/>
      <c r="BW72" s="9"/>
      <c r="BX72" s="18"/>
      <c r="BY72" s="19"/>
      <c r="BZ72" s="19"/>
      <c r="CA72" s="19"/>
      <c r="CB72" s="19" t="s">
        <v>99</v>
      </c>
      <c r="CC72" s="19"/>
      <c r="CD72" s="19"/>
      <c r="CE72" s="19"/>
      <c r="CF72" s="22"/>
      <c r="CG72" s="22"/>
      <c r="CH72" s="96"/>
      <c r="CI72" s="95"/>
      <c r="CJ72" s="248">
        <f t="shared" si="18"/>
        <v>102900</v>
      </c>
      <c r="CK72" s="38"/>
      <c r="CL72" s="9"/>
    </row>
    <row r="73" spans="1:90" ht="12" customHeight="1" x14ac:dyDescent="0.3">
      <c r="A73" s="18" t="s">
        <v>100</v>
      </c>
      <c r="B73" s="19"/>
      <c r="C73" s="19"/>
      <c r="D73" s="19"/>
      <c r="E73" s="19"/>
      <c r="F73" s="19"/>
      <c r="G73" s="19"/>
      <c r="H73" s="19"/>
      <c r="I73" s="22"/>
      <c r="J73" s="22"/>
      <c r="K73" s="22"/>
      <c r="L73" s="82"/>
      <c r="M73" s="248">
        <f>M72+M64+M55+M54+M53+M46</f>
        <v>65946</v>
      </c>
      <c r="N73" s="176"/>
      <c r="O73" s="9"/>
      <c r="P73" s="18" t="s">
        <v>100</v>
      </c>
      <c r="Q73" s="19"/>
      <c r="R73" s="19"/>
      <c r="S73" s="19"/>
      <c r="T73" s="19"/>
      <c r="U73" s="19"/>
      <c r="V73" s="19"/>
      <c r="W73" s="19"/>
      <c r="X73" s="22"/>
      <c r="Y73" s="22"/>
      <c r="Z73" s="96"/>
      <c r="AA73" s="95"/>
      <c r="AB73" s="248">
        <f>AB72+AB64+AB55+AB54+AB53+AB46</f>
        <v>76769</v>
      </c>
      <c r="AC73" s="38"/>
      <c r="AD73" s="9"/>
      <c r="AE73" s="18" t="s">
        <v>100</v>
      </c>
      <c r="AF73" s="19"/>
      <c r="AG73" s="19"/>
      <c r="AH73" s="19"/>
      <c r="AI73" s="19"/>
      <c r="AJ73" s="19"/>
      <c r="AK73" s="19"/>
      <c r="AL73" s="19"/>
      <c r="AM73" s="22"/>
      <c r="AN73" s="22"/>
      <c r="AO73" s="96"/>
      <c r="AP73" s="95"/>
      <c r="AQ73" s="248">
        <f>AQ72+AQ64+AQ55+AQ54+AQ53+AQ46</f>
        <v>126375</v>
      </c>
      <c r="AR73" s="38"/>
      <c r="AS73" s="9"/>
      <c r="AT73" s="18" t="s">
        <v>100</v>
      </c>
      <c r="AU73" s="19"/>
      <c r="AV73" s="19"/>
      <c r="AW73" s="19"/>
      <c r="AX73" s="19"/>
      <c r="AY73" s="19"/>
      <c r="AZ73" s="19"/>
      <c r="BA73" s="19"/>
      <c r="BB73" s="22"/>
      <c r="BC73" s="22"/>
      <c r="BD73" s="96"/>
      <c r="BE73" s="95"/>
      <c r="BF73" s="248">
        <f>BF72+BF64+BF55+BF54+BF53+BF46</f>
        <v>130235</v>
      </c>
      <c r="BG73" s="38"/>
      <c r="BH73" s="9"/>
      <c r="BI73" s="18" t="s">
        <v>100</v>
      </c>
      <c r="BJ73" s="19"/>
      <c r="BK73" s="19"/>
      <c r="BL73" s="19"/>
      <c r="BM73" s="19"/>
      <c r="BN73" s="19"/>
      <c r="BO73" s="19"/>
      <c r="BP73" s="19"/>
      <c r="BQ73" s="22"/>
      <c r="BR73" s="22"/>
      <c r="BS73" s="96"/>
      <c r="BT73" s="95"/>
      <c r="BU73" s="248">
        <f>BU72+BU64+BU55+BU54+BU53+BU46</f>
        <v>0</v>
      </c>
      <c r="BV73" s="38"/>
      <c r="BW73" s="9"/>
      <c r="BX73" s="18" t="s">
        <v>100</v>
      </c>
      <c r="BY73" s="19"/>
      <c r="BZ73" s="19"/>
      <c r="CA73" s="19"/>
      <c r="CB73" s="19"/>
      <c r="CC73" s="19"/>
      <c r="CD73" s="19"/>
      <c r="CE73" s="19"/>
      <c r="CF73" s="22"/>
      <c r="CG73" s="22"/>
      <c r="CH73" s="96"/>
      <c r="CI73" s="95"/>
      <c r="CJ73" s="248">
        <f t="shared" si="18"/>
        <v>399325</v>
      </c>
      <c r="CK73" s="38"/>
      <c r="CL73" s="9"/>
    </row>
    <row r="74" spans="1:90" ht="12" customHeight="1" x14ac:dyDescent="0.3">
      <c r="A74" s="18" t="s">
        <v>101</v>
      </c>
      <c r="B74" s="19"/>
      <c r="C74" s="19"/>
      <c r="D74" s="19"/>
      <c r="E74" s="19"/>
      <c r="F74" s="19"/>
      <c r="G74" s="19"/>
      <c r="H74" s="19"/>
      <c r="I74" s="22"/>
      <c r="J74" s="22"/>
      <c r="K74" s="22"/>
      <c r="L74" s="82"/>
      <c r="M74" s="249"/>
      <c r="N74" s="177"/>
      <c r="O74" s="9"/>
      <c r="P74" s="18" t="s">
        <v>101</v>
      </c>
      <c r="Q74" s="19"/>
      <c r="R74" s="19"/>
      <c r="S74" s="19"/>
      <c r="T74" s="19"/>
      <c r="U74" s="19"/>
      <c r="V74" s="19"/>
      <c r="W74" s="19"/>
      <c r="X74" s="22"/>
      <c r="Y74" s="22"/>
      <c r="Z74" s="53"/>
      <c r="AA74" s="83"/>
      <c r="AB74" s="249"/>
      <c r="AC74" s="40"/>
      <c r="AD74" s="9"/>
      <c r="AE74" s="18" t="s">
        <v>101</v>
      </c>
      <c r="AF74" s="19"/>
      <c r="AG74" s="19"/>
      <c r="AH74" s="19"/>
      <c r="AI74" s="19"/>
      <c r="AJ74" s="19"/>
      <c r="AK74" s="19"/>
      <c r="AL74" s="19"/>
      <c r="AM74" s="22"/>
      <c r="AN74" s="22"/>
      <c r="AO74" s="53"/>
      <c r="AP74" s="83"/>
      <c r="AQ74" s="249"/>
      <c r="AR74" s="40"/>
      <c r="AS74" s="9"/>
      <c r="AT74" s="18" t="s">
        <v>101</v>
      </c>
      <c r="AU74" s="19"/>
      <c r="AV74" s="19"/>
      <c r="AW74" s="19"/>
      <c r="AX74" s="19"/>
      <c r="AY74" s="19"/>
      <c r="AZ74" s="19"/>
      <c r="BA74" s="19"/>
      <c r="BB74" s="22"/>
      <c r="BC74" s="22"/>
      <c r="BD74" s="53"/>
      <c r="BE74" s="83"/>
      <c r="BF74" s="249"/>
      <c r="BG74" s="40"/>
      <c r="BH74" s="9"/>
      <c r="BI74" s="18" t="s">
        <v>101</v>
      </c>
      <c r="BJ74" s="19"/>
      <c r="BK74" s="19"/>
      <c r="BL74" s="19"/>
      <c r="BM74" s="19"/>
      <c r="BN74" s="19"/>
      <c r="BO74" s="19"/>
      <c r="BP74" s="19"/>
      <c r="BQ74" s="22"/>
      <c r="BR74" s="22"/>
      <c r="BS74" s="53"/>
      <c r="BT74" s="83"/>
      <c r="BU74" s="249"/>
      <c r="BV74" s="40"/>
      <c r="BW74" s="9"/>
      <c r="BX74" s="18" t="s">
        <v>101</v>
      </c>
      <c r="BY74" s="19"/>
      <c r="BZ74" s="19"/>
      <c r="CA74" s="19"/>
      <c r="CB74" s="19"/>
      <c r="CC74" s="19"/>
      <c r="CD74" s="19"/>
      <c r="CE74" s="19"/>
      <c r="CF74" s="22"/>
      <c r="CG74" s="22"/>
      <c r="CH74" s="53"/>
      <c r="CI74" s="83"/>
      <c r="CJ74" s="249"/>
      <c r="CK74" s="40"/>
      <c r="CL74" s="9"/>
    </row>
    <row r="75" spans="1:90" ht="12" customHeight="1" x14ac:dyDescent="0.3">
      <c r="A75" s="14"/>
      <c r="E75" s="6"/>
      <c r="F75" s="6"/>
      <c r="G75" s="6"/>
      <c r="H75" s="6"/>
      <c r="I75" s="4"/>
      <c r="J75" s="4"/>
      <c r="K75" s="4"/>
      <c r="L75" s="84"/>
      <c r="M75" s="250"/>
      <c r="N75" s="178"/>
      <c r="O75" s="9"/>
      <c r="P75" s="14"/>
      <c r="T75" s="6"/>
      <c r="U75" s="6"/>
      <c r="V75" s="6"/>
      <c r="W75" s="6"/>
      <c r="X75" s="4"/>
      <c r="Y75" s="4"/>
      <c r="Z75" s="53"/>
      <c r="AA75" s="84"/>
      <c r="AB75" s="250"/>
      <c r="AC75" s="44"/>
      <c r="AD75" s="9"/>
      <c r="AE75" s="14"/>
      <c r="AM75" s="4"/>
      <c r="AN75" s="4"/>
      <c r="AO75" s="53"/>
      <c r="AP75" s="84"/>
      <c r="AQ75" s="250"/>
      <c r="AR75" s="44"/>
      <c r="AS75" s="9"/>
      <c r="AT75" s="14"/>
      <c r="BB75" s="4"/>
      <c r="BC75" s="4"/>
      <c r="BD75" s="53"/>
      <c r="BE75" s="84"/>
      <c r="BF75" s="250"/>
      <c r="BG75" s="44"/>
      <c r="BH75" s="9"/>
      <c r="BI75" s="14"/>
      <c r="BQ75" s="4"/>
      <c r="BR75" s="4"/>
      <c r="BS75" s="53"/>
      <c r="BT75" s="84"/>
      <c r="BU75" s="250"/>
      <c r="BV75" s="44"/>
      <c r="BW75" s="9"/>
      <c r="BX75" s="14"/>
      <c r="CF75" s="4"/>
      <c r="CG75" s="4"/>
      <c r="CH75" s="53"/>
      <c r="CI75" s="84"/>
      <c r="CJ75" s="250"/>
      <c r="CK75" s="44"/>
      <c r="CL75" s="9"/>
    </row>
    <row r="76" spans="1:90" ht="12" customHeight="1" x14ac:dyDescent="0.3">
      <c r="A76" s="147"/>
      <c r="B76" s="47"/>
      <c r="C76" s="47"/>
      <c r="D76" s="47"/>
      <c r="E76" s="47"/>
      <c r="F76" s="245"/>
      <c r="G76" s="243" t="s">
        <v>102</v>
      </c>
      <c r="I76" s="4"/>
      <c r="J76" s="4"/>
      <c r="K76" s="4"/>
      <c r="L76" s="83"/>
      <c r="M76" s="251"/>
      <c r="N76" s="178"/>
      <c r="O76" s="9"/>
      <c r="P76" s="147"/>
      <c r="Q76" s="145"/>
      <c r="R76" s="145"/>
      <c r="S76" s="145"/>
      <c r="T76" s="145"/>
      <c r="U76" s="246"/>
      <c r="V76" s="244" t="s">
        <v>102</v>
      </c>
      <c r="W76" s="52"/>
      <c r="X76" s="4"/>
      <c r="Y76" s="4"/>
      <c r="Z76" s="53"/>
      <c r="AA76" s="83"/>
      <c r="AB76" s="250"/>
      <c r="AC76" s="43"/>
      <c r="AD76" s="9"/>
      <c r="AE76" s="147"/>
      <c r="AF76" s="145"/>
      <c r="AG76" s="145"/>
      <c r="AH76" s="145"/>
      <c r="AI76" s="145"/>
      <c r="AJ76" s="246"/>
      <c r="AK76" s="244" t="s">
        <v>102</v>
      </c>
      <c r="AL76" s="52"/>
      <c r="AM76" s="4"/>
      <c r="AN76" s="4"/>
      <c r="AO76" s="53"/>
      <c r="AP76" s="83"/>
      <c r="AQ76" s="250"/>
      <c r="AR76" s="43"/>
      <c r="AS76" s="9"/>
      <c r="AT76" s="147"/>
      <c r="AU76" s="145"/>
      <c r="AV76" s="145"/>
      <c r="AW76" s="145"/>
      <c r="AX76" s="145"/>
      <c r="AY76" s="246"/>
      <c r="AZ76" s="244" t="s">
        <v>102</v>
      </c>
      <c r="BA76" s="52"/>
      <c r="BB76" s="4"/>
      <c r="BC76" s="4"/>
      <c r="BD76" s="53"/>
      <c r="BE76" s="83"/>
      <c r="BF76" s="250"/>
      <c r="BG76" s="43"/>
      <c r="BH76" s="9"/>
      <c r="BI76" s="147"/>
      <c r="BJ76" s="145"/>
      <c r="BK76" s="145"/>
      <c r="BL76" s="145"/>
      <c r="BM76" s="145"/>
      <c r="BN76" s="246"/>
      <c r="BO76" s="244" t="s">
        <v>102</v>
      </c>
      <c r="BP76" s="52"/>
      <c r="BQ76" s="4"/>
      <c r="BR76" s="4"/>
      <c r="BS76" s="53"/>
      <c r="BT76" s="83"/>
      <c r="BU76" s="250"/>
      <c r="BV76" s="43"/>
      <c r="BW76" s="9"/>
      <c r="BX76" s="147"/>
      <c r="BY76" s="145"/>
      <c r="BZ76" s="145"/>
      <c r="CA76" s="145"/>
      <c r="CB76" s="145"/>
      <c r="CC76" s="146"/>
      <c r="CD76" s="244" t="s">
        <v>102</v>
      </c>
      <c r="CE76" s="52"/>
      <c r="CF76" s="4"/>
      <c r="CG76" s="4"/>
      <c r="CH76" s="53"/>
      <c r="CI76" s="83"/>
      <c r="CJ76" s="250"/>
      <c r="CK76" s="43"/>
      <c r="CL76" s="9"/>
    </row>
    <row r="77" spans="1:90" ht="12" customHeight="1" x14ac:dyDescent="0.3">
      <c r="A77" s="14" t="s">
        <v>103</v>
      </c>
      <c r="B77" s="52"/>
      <c r="C77" s="52"/>
      <c r="D77" s="52"/>
      <c r="E77" s="52"/>
      <c r="F77" s="52"/>
      <c r="G77" s="52"/>
      <c r="H77" s="52"/>
      <c r="I77" s="53"/>
      <c r="J77" s="53"/>
      <c r="K77" s="106" t="s">
        <v>104</v>
      </c>
      <c r="L77" s="107">
        <f>+M73-L71-M53-M64+L70-M70</f>
        <v>50000</v>
      </c>
      <c r="M77" s="248">
        <f>'F&amp;A Calculation- Sponsor Funds'!I22</f>
        <v>26500</v>
      </c>
      <c r="N77" s="176"/>
      <c r="O77" s="9"/>
      <c r="P77" s="14" t="s">
        <v>103</v>
      </c>
      <c r="Q77" s="52"/>
      <c r="R77" s="52"/>
      <c r="S77" s="52"/>
      <c r="T77" s="52"/>
      <c r="U77" s="52"/>
      <c r="V77" s="52"/>
      <c r="W77" s="52"/>
      <c r="X77" s="53"/>
      <c r="Y77" s="53"/>
      <c r="Z77" s="106" t="s">
        <v>104</v>
      </c>
      <c r="AA77" s="107">
        <f>+AB73-AA71-AB53-AB64+AA70-AB70</f>
        <v>60185</v>
      </c>
      <c r="AB77" s="248">
        <f>'F&amp;A Calculation- Sponsor Funds'!I32</f>
        <v>31898</v>
      </c>
      <c r="AC77" s="38"/>
      <c r="AD77" s="9"/>
      <c r="AE77" s="14" t="s">
        <v>103</v>
      </c>
      <c r="AF77" s="52"/>
      <c r="AG77" s="52"/>
      <c r="AH77" s="52"/>
      <c r="AI77" s="52"/>
      <c r="AJ77" s="52"/>
      <c r="AK77" s="52"/>
      <c r="AL77" s="52"/>
      <c r="AM77" s="53"/>
      <c r="AN77" s="53"/>
      <c r="AO77" s="106" t="s">
        <v>104</v>
      </c>
      <c r="AP77" s="107">
        <f>+AQ73-AP71-AQ53-AQ64+AP70-AQ70</f>
        <v>91880</v>
      </c>
      <c r="AQ77" s="248">
        <f>'F&amp;A Calculation- Sponsor Funds'!I42</f>
        <v>48696</v>
      </c>
      <c r="AR77" s="38"/>
      <c r="AS77" s="9"/>
      <c r="AT77" s="14" t="s">
        <v>103</v>
      </c>
      <c r="AU77" s="52"/>
      <c r="AV77" s="52"/>
      <c r="AW77" s="52"/>
      <c r="AX77" s="52"/>
      <c r="AY77" s="52"/>
      <c r="AZ77" s="52"/>
      <c r="BA77" s="52"/>
      <c r="BB77" s="53"/>
      <c r="BC77" s="53"/>
      <c r="BD77" s="106" t="s">
        <v>104</v>
      </c>
      <c r="BE77" s="107">
        <f>+BF73-BE71-BF53-BF64+BE70-BF70</f>
        <v>94360</v>
      </c>
      <c r="BF77" s="248">
        <f>'F&amp;A Calculation- Sponsor Funds'!I52</f>
        <v>50011</v>
      </c>
      <c r="BG77" s="38"/>
      <c r="BH77" s="9"/>
      <c r="BI77" s="14" t="s">
        <v>103</v>
      </c>
      <c r="BJ77" s="52"/>
      <c r="BK77" s="52"/>
      <c r="BL77" s="52"/>
      <c r="BM77" s="52"/>
      <c r="BN77" s="52"/>
      <c r="BO77" s="52"/>
      <c r="BP77" s="52"/>
      <c r="BQ77" s="53"/>
      <c r="BR77" s="53"/>
      <c r="BS77" s="106" t="s">
        <v>104</v>
      </c>
      <c r="BT77" s="107">
        <f>+BU73-BT71-BU53-BU64+BT70-BU70</f>
        <v>0</v>
      </c>
      <c r="BU77" s="248">
        <f>'F&amp;A Calculation- Sponsor Funds'!I62</f>
        <v>0</v>
      </c>
      <c r="BV77" s="38"/>
      <c r="BW77" s="9"/>
      <c r="BX77" s="14" t="s">
        <v>103</v>
      </c>
      <c r="BY77" s="52"/>
      <c r="BZ77" s="52"/>
      <c r="CA77" s="52"/>
      <c r="CB77" s="52"/>
      <c r="CC77" s="52"/>
      <c r="CD77" s="52"/>
      <c r="CE77" s="52"/>
      <c r="CF77" s="53"/>
      <c r="CG77" s="53"/>
      <c r="CH77" s="97"/>
      <c r="CI77" s="98"/>
      <c r="CJ77" s="248">
        <f>AQ77+AB77+M77+BF77+BU77</f>
        <v>157105</v>
      </c>
      <c r="CK77" s="38"/>
      <c r="CL77" s="9"/>
    </row>
    <row r="78" spans="1:90" ht="12" customHeight="1" x14ac:dyDescent="0.3">
      <c r="A78" s="18" t="s">
        <v>105</v>
      </c>
      <c r="B78" s="19"/>
      <c r="C78" s="19"/>
      <c r="D78" s="19"/>
      <c r="E78" s="19"/>
      <c r="F78" s="19"/>
      <c r="G78" s="19"/>
      <c r="H78" s="19"/>
      <c r="I78" s="22"/>
      <c r="J78" s="22"/>
      <c r="K78" s="22"/>
      <c r="L78" s="82"/>
      <c r="M78" s="248">
        <f>M77+M73</f>
        <v>92446</v>
      </c>
      <c r="N78" s="176"/>
      <c r="O78" s="54"/>
      <c r="P78" s="18" t="s">
        <v>105</v>
      </c>
      <c r="Q78" s="19"/>
      <c r="R78" s="19"/>
      <c r="S78" s="19"/>
      <c r="T78" s="19"/>
      <c r="U78" s="19"/>
      <c r="V78" s="19"/>
      <c r="W78" s="19"/>
      <c r="X78" s="22"/>
      <c r="Y78" s="22"/>
      <c r="Z78" s="96"/>
      <c r="AA78" s="95"/>
      <c r="AB78" s="248">
        <f>AB77+AB73</f>
        <v>108667</v>
      </c>
      <c r="AC78" s="38"/>
      <c r="AD78" s="54"/>
      <c r="AE78" s="18" t="s">
        <v>105</v>
      </c>
      <c r="AF78" s="19"/>
      <c r="AG78" s="19"/>
      <c r="AH78" s="19"/>
      <c r="AI78" s="19"/>
      <c r="AJ78" s="19"/>
      <c r="AK78" s="19"/>
      <c r="AL78" s="19"/>
      <c r="AM78" s="22"/>
      <c r="AN78" s="22"/>
      <c r="AO78" s="96"/>
      <c r="AP78" s="95"/>
      <c r="AQ78" s="248">
        <f>AQ77+AQ73</f>
        <v>175071</v>
      </c>
      <c r="AR78" s="38"/>
      <c r="AS78" s="54"/>
      <c r="AT78" s="18" t="s">
        <v>105</v>
      </c>
      <c r="AU78" s="19"/>
      <c r="AV78" s="19"/>
      <c r="AW78" s="19"/>
      <c r="AX78" s="19"/>
      <c r="AY78" s="19"/>
      <c r="AZ78" s="19"/>
      <c r="BA78" s="19"/>
      <c r="BB78" s="22"/>
      <c r="BC78" s="22"/>
      <c r="BD78" s="96"/>
      <c r="BE78" s="95"/>
      <c r="BF78" s="248">
        <f>BF77+BF73</f>
        <v>180246</v>
      </c>
      <c r="BG78" s="38"/>
      <c r="BH78" s="54"/>
      <c r="BI78" s="18" t="s">
        <v>105</v>
      </c>
      <c r="BJ78" s="19"/>
      <c r="BK78" s="19"/>
      <c r="BL78" s="19"/>
      <c r="BM78" s="19"/>
      <c r="BN78" s="19"/>
      <c r="BO78" s="19"/>
      <c r="BP78" s="19"/>
      <c r="BQ78" s="22"/>
      <c r="BR78" s="22"/>
      <c r="BS78" s="96"/>
      <c r="BT78" s="95"/>
      <c r="BU78" s="248">
        <f>BU77+BU73</f>
        <v>0</v>
      </c>
      <c r="BV78" s="38"/>
      <c r="BW78" s="54"/>
      <c r="BX78" s="18" t="s">
        <v>105</v>
      </c>
      <c r="BY78" s="19"/>
      <c r="BZ78" s="19"/>
      <c r="CA78" s="19"/>
      <c r="CB78" s="19"/>
      <c r="CC78" s="19"/>
      <c r="CD78" s="19"/>
      <c r="CE78" s="19"/>
      <c r="CF78" s="22"/>
      <c r="CG78" s="22"/>
      <c r="CH78" s="96"/>
      <c r="CI78" s="95"/>
      <c r="CJ78" s="248">
        <f>AQ78+AB78+M78+BF78+BU78</f>
        <v>556430</v>
      </c>
      <c r="CK78" s="38"/>
      <c r="CL78" s="54"/>
    </row>
    <row r="79" spans="1:90" ht="12" customHeight="1" x14ac:dyDescent="0.3">
      <c r="A79" s="42" t="s">
        <v>106</v>
      </c>
      <c r="B79" s="19"/>
      <c r="C79" s="19"/>
      <c r="D79" s="19"/>
      <c r="E79" s="19"/>
      <c r="F79" s="19"/>
      <c r="G79" s="19"/>
      <c r="H79" s="19"/>
      <c r="I79" s="22"/>
      <c r="J79" s="22"/>
      <c r="K79" s="22"/>
      <c r="L79" s="82"/>
      <c r="M79" s="248"/>
      <c r="N79" s="176"/>
      <c r="O79" s="9"/>
      <c r="P79" s="42" t="s">
        <v>106</v>
      </c>
      <c r="Q79" s="19"/>
      <c r="R79" s="19"/>
      <c r="S79" s="19"/>
      <c r="T79" s="19"/>
      <c r="U79" s="19"/>
      <c r="V79" s="19"/>
      <c r="W79" s="19"/>
      <c r="X79" s="22"/>
      <c r="Y79" s="22"/>
      <c r="Z79" s="96"/>
      <c r="AA79" s="95"/>
      <c r="AB79" s="248"/>
      <c r="AC79" s="38"/>
      <c r="AD79" s="9"/>
      <c r="AE79" s="42" t="s">
        <v>106</v>
      </c>
      <c r="AF79" s="19"/>
      <c r="AG79" s="19"/>
      <c r="AH79" s="19"/>
      <c r="AI79" s="19"/>
      <c r="AJ79" s="19"/>
      <c r="AK79" s="19"/>
      <c r="AL79" s="19"/>
      <c r="AM79" s="22"/>
      <c r="AN79" s="22"/>
      <c r="AO79" s="96"/>
      <c r="AP79" s="95"/>
      <c r="AQ79" s="248"/>
      <c r="AR79" s="38"/>
      <c r="AS79" s="9"/>
      <c r="AT79" s="42" t="s">
        <v>106</v>
      </c>
      <c r="AU79" s="19"/>
      <c r="AV79" s="19"/>
      <c r="AW79" s="19"/>
      <c r="AX79" s="19"/>
      <c r="AY79" s="19"/>
      <c r="AZ79" s="19"/>
      <c r="BA79" s="19"/>
      <c r="BB79" s="22"/>
      <c r="BC79" s="22"/>
      <c r="BD79" s="96"/>
      <c r="BE79" s="95"/>
      <c r="BF79" s="248"/>
      <c r="BG79" s="38"/>
      <c r="BH79" s="9"/>
      <c r="BI79" s="42" t="s">
        <v>106</v>
      </c>
      <c r="BJ79" s="19"/>
      <c r="BK79" s="19"/>
      <c r="BL79" s="19"/>
      <c r="BM79" s="19"/>
      <c r="BN79" s="19"/>
      <c r="BO79" s="19"/>
      <c r="BP79" s="19"/>
      <c r="BQ79" s="22"/>
      <c r="BR79" s="22"/>
      <c r="BS79" s="96"/>
      <c r="BT79" s="95"/>
      <c r="BU79" s="248"/>
      <c r="BV79" s="38"/>
      <c r="BW79" s="9"/>
      <c r="BX79" s="42" t="s">
        <v>106</v>
      </c>
      <c r="BY79" s="19"/>
      <c r="BZ79" s="19"/>
      <c r="CA79" s="19"/>
      <c r="CB79" s="19"/>
      <c r="CC79" s="19"/>
      <c r="CD79" s="19"/>
      <c r="CE79" s="19"/>
      <c r="CF79" s="22"/>
      <c r="CG79" s="22"/>
      <c r="CH79" s="96"/>
      <c r="CI79" s="95"/>
      <c r="CJ79" s="248">
        <f>AQ79+AB79+M79+BF79+BU79</f>
        <v>0</v>
      </c>
      <c r="CK79" s="38"/>
      <c r="CL79" s="9"/>
    </row>
    <row r="80" spans="1:90" ht="12" customHeight="1" thickBot="1" x14ac:dyDescent="0.35">
      <c r="A80" s="18" t="s">
        <v>107</v>
      </c>
      <c r="B80" s="19"/>
      <c r="C80" s="19"/>
      <c r="D80" s="19"/>
      <c r="E80" s="19"/>
      <c r="F80" s="19"/>
      <c r="G80" s="19"/>
      <c r="H80" s="19"/>
      <c r="I80" s="22"/>
      <c r="J80" s="22"/>
      <c r="K80" s="22"/>
      <c r="L80" s="85"/>
      <c r="M80" s="252">
        <f>M78</f>
        <v>92446</v>
      </c>
      <c r="N80" s="176"/>
      <c r="O80" s="9"/>
      <c r="P80" s="18" t="s">
        <v>107</v>
      </c>
      <c r="Q80" s="19"/>
      <c r="R80" s="19"/>
      <c r="S80" s="19"/>
      <c r="T80" s="19"/>
      <c r="U80" s="19"/>
      <c r="V80" s="19"/>
      <c r="W80" s="19"/>
      <c r="X80" s="22"/>
      <c r="Y80" s="22"/>
      <c r="Z80" s="102"/>
      <c r="AA80" s="103"/>
      <c r="AB80" s="252">
        <f>AB78</f>
        <v>108667</v>
      </c>
      <c r="AC80" s="38"/>
      <c r="AD80" s="9"/>
      <c r="AE80" s="18" t="s">
        <v>107</v>
      </c>
      <c r="AF80" s="19"/>
      <c r="AG80" s="19"/>
      <c r="AH80" s="19"/>
      <c r="AI80" s="19"/>
      <c r="AJ80" s="19"/>
      <c r="AK80" s="19"/>
      <c r="AL80" s="19"/>
      <c r="AM80" s="22"/>
      <c r="AN80" s="22"/>
      <c r="AO80" s="102"/>
      <c r="AP80" s="103"/>
      <c r="AQ80" s="252">
        <f>AQ78</f>
        <v>175071</v>
      </c>
      <c r="AR80" s="38"/>
      <c r="AS80" s="9"/>
      <c r="AT80" s="18" t="s">
        <v>107</v>
      </c>
      <c r="AU80" s="19"/>
      <c r="AV80" s="19"/>
      <c r="AW80" s="19"/>
      <c r="AX80" s="19"/>
      <c r="AY80" s="19"/>
      <c r="AZ80" s="19"/>
      <c r="BA80" s="19"/>
      <c r="BB80" s="22"/>
      <c r="BC80" s="22"/>
      <c r="BD80" s="102"/>
      <c r="BE80" s="103"/>
      <c r="BF80" s="252">
        <f>BF78</f>
        <v>180246</v>
      </c>
      <c r="BG80" s="38"/>
      <c r="BH80" s="9"/>
      <c r="BI80" s="18" t="s">
        <v>107</v>
      </c>
      <c r="BJ80" s="19"/>
      <c r="BK80" s="19"/>
      <c r="BL80" s="19"/>
      <c r="BM80" s="19"/>
      <c r="BN80" s="19"/>
      <c r="BO80" s="19"/>
      <c r="BP80" s="19"/>
      <c r="BQ80" s="22"/>
      <c r="BR80" s="22"/>
      <c r="BS80" s="102"/>
      <c r="BT80" s="103"/>
      <c r="BU80" s="252">
        <f>BU78</f>
        <v>0</v>
      </c>
      <c r="BV80" s="38"/>
      <c r="BW80" s="9"/>
      <c r="BX80" s="18" t="s">
        <v>107</v>
      </c>
      <c r="BY80" s="19"/>
      <c r="BZ80" s="19"/>
      <c r="CA80" s="19"/>
      <c r="CB80" s="19"/>
      <c r="CC80" s="19"/>
      <c r="CD80" s="19"/>
      <c r="CE80" s="19"/>
      <c r="CF80" s="22"/>
      <c r="CG80" s="22"/>
      <c r="CH80" s="102"/>
      <c r="CI80" s="103"/>
      <c r="CJ80" s="248">
        <f>AQ80+AB80+M80+BF80+BU80</f>
        <v>556430</v>
      </c>
      <c r="CK80" s="38"/>
      <c r="CL80" s="9"/>
    </row>
    <row r="81" spans="1:90" ht="12" customHeight="1" thickBot="1" x14ac:dyDescent="0.35">
      <c r="A81" s="10" t="s">
        <v>108</v>
      </c>
      <c r="B81" s="11"/>
      <c r="C81" s="11"/>
      <c r="D81" s="11"/>
      <c r="E81" s="11"/>
      <c r="F81" s="11"/>
      <c r="G81" s="124"/>
      <c r="H81" s="11"/>
      <c r="I81" s="12" t="s">
        <v>109</v>
      </c>
      <c r="J81" s="55"/>
      <c r="K81" s="55"/>
      <c r="L81" s="55"/>
      <c r="M81" s="55"/>
      <c r="N81" s="56"/>
      <c r="O81" s="9"/>
      <c r="P81" s="57" t="s">
        <v>108</v>
      </c>
      <c r="Q81" s="58"/>
      <c r="R81" s="58"/>
      <c r="S81" s="58"/>
      <c r="T81" s="58"/>
      <c r="U81" s="58"/>
      <c r="V81" s="125"/>
      <c r="W81" s="58"/>
      <c r="X81" s="59" t="s">
        <v>109</v>
      </c>
      <c r="Y81" s="60"/>
      <c r="Z81" s="92"/>
      <c r="AA81" s="93"/>
      <c r="AB81" s="60"/>
      <c r="AC81" s="62"/>
      <c r="AD81" s="9"/>
      <c r="AE81" s="57" t="s">
        <v>108</v>
      </c>
      <c r="AF81" s="58"/>
      <c r="AG81" s="58"/>
      <c r="AH81" s="58"/>
      <c r="AI81" s="58"/>
      <c r="AJ81" s="58"/>
      <c r="AK81" s="125"/>
      <c r="AL81" s="58"/>
      <c r="AM81" s="59" t="s">
        <v>109</v>
      </c>
      <c r="AN81" s="60"/>
      <c r="AO81" s="60"/>
      <c r="AP81" s="61"/>
      <c r="AQ81" s="60"/>
      <c r="AR81" s="62"/>
      <c r="AS81" s="9"/>
      <c r="AT81" s="57" t="s">
        <v>108</v>
      </c>
      <c r="AU81" s="58"/>
      <c r="AV81" s="58"/>
      <c r="AW81" s="58"/>
      <c r="AX81" s="58"/>
      <c r="AY81" s="58"/>
      <c r="AZ81" s="125"/>
      <c r="BA81" s="58"/>
      <c r="BB81" s="59" t="s">
        <v>109</v>
      </c>
      <c r="BC81" s="60"/>
      <c r="BD81" s="60"/>
      <c r="BE81" s="61"/>
      <c r="BF81" s="60"/>
      <c r="BG81" s="62"/>
      <c r="BH81" s="9"/>
      <c r="BI81" s="57" t="s">
        <v>108</v>
      </c>
      <c r="BJ81" s="58"/>
      <c r="BK81" s="58"/>
      <c r="BL81" s="58"/>
      <c r="BM81" s="58"/>
      <c r="BN81" s="58"/>
      <c r="BO81" s="125"/>
      <c r="BP81" s="58"/>
      <c r="BQ81" s="59" t="s">
        <v>109</v>
      </c>
      <c r="BR81" s="60"/>
      <c r="BS81" s="60"/>
      <c r="BT81" s="61"/>
      <c r="BU81" s="60"/>
      <c r="BV81" s="62"/>
      <c r="BW81" s="9"/>
      <c r="BX81" s="57" t="s">
        <v>108</v>
      </c>
      <c r="BY81" s="58"/>
      <c r="BZ81" s="58"/>
      <c r="CA81" s="58"/>
      <c r="CB81" s="58"/>
      <c r="CC81" s="58"/>
      <c r="CD81" s="135">
        <f>AK81+V81+G81+AZ81+BO81</f>
        <v>0</v>
      </c>
      <c r="CE81" s="134"/>
      <c r="CF81" s="59" t="s">
        <v>109</v>
      </c>
      <c r="CG81" s="60"/>
      <c r="CH81" s="60"/>
      <c r="CI81" s="61"/>
      <c r="CJ81" s="60"/>
      <c r="CK81" s="62"/>
      <c r="CL81" s="9"/>
    </row>
    <row r="82" spans="1:90" ht="10.5" x14ac:dyDescent="0.25">
      <c r="A82" s="10" t="s">
        <v>110</v>
      </c>
      <c r="B82" s="11"/>
      <c r="C82" s="11"/>
      <c r="D82" s="11"/>
      <c r="E82" s="11"/>
      <c r="F82" s="11"/>
      <c r="G82" s="11"/>
      <c r="H82" s="11"/>
      <c r="I82" s="12" t="s">
        <v>111</v>
      </c>
      <c r="J82" s="11"/>
      <c r="K82" s="11"/>
      <c r="L82" s="63" t="s">
        <v>112</v>
      </c>
      <c r="M82" s="64"/>
      <c r="N82" s="65"/>
      <c r="O82" s="9"/>
      <c r="P82" s="18" t="s">
        <v>110</v>
      </c>
      <c r="Q82" s="19"/>
      <c r="R82" s="19"/>
      <c r="S82" s="19"/>
      <c r="T82" s="19"/>
      <c r="U82" s="19"/>
      <c r="V82" s="19"/>
      <c r="W82" s="19"/>
      <c r="X82" s="20"/>
      <c r="Y82" s="19" t="s">
        <v>111</v>
      </c>
      <c r="Z82" s="19"/>
      <c r="AA82" s="63" t="s">
        <v>112</v>
      </c>
      <c r="AB82" s="64"/>
      <c r="AC82" s="65"/>
      <c r="AD82" s="9"/>
      <c r="AE82" s="18" t="s">
        <v>110</v>
      </c>
      <c r="AF82" s="19"/>
      <c r="AG82" s="19"/>
      <c r="AH82" s="19"/>
      <c r="AI82" s="19"/>
      <c r="AJ82" s="19"/>
      <c r="AK82" s="19"/>
      <c r="AL82" s="19"/>
      <c r="AM82" s="20"/>
      <c r="AN82" s="19" t="s">
        <v>111</v>
      </c>
      <c r="AO82" s="19"/>
      <c r="AP82" s="63" t="s">
        <v>112</v>
      </c>
      <c r="AQ82" s="64"/>
      <c r="AR82" s="65"/>
      <c r="AS82" s="9"/>
      <c r="AT82" s="18" t="s">
        <v>110</v>
      </c>
      <c r="AU82" s="19"/>
      <c r="AV82" s="19"/>
      <c r="AW82" s="19"/>
      <c r="AX82" s="19"/>
      <c r="AY82" s="19"/>
      <c r="AZ82" s="19"/>
      <c r="BA82" s="19"/>
      <c r="BB82" s="20"/>
      <c r="BC82" s="19" t="s">
        <v>111</v>
      </c>
      <c r="BD82" s="19"/>
      <c r="BE82" s="63" t="s">
        <v>112</v>
      </c>
      <c r="BF82" s="64"/>
      <c r="BG82" s="65"/>
      <c r="BH82" s="9"/>
      <c r="BI82" s="18" t="s">
        <v>110</v>
      </c>
      <c r="BJ82" s="19"/>
      <c r="BK82" s="19"/>
      <c r="BL82" s="19"/>
      <c r="BM82" s="19"/>
      <c r="BN82" s="19"/>
      <c r="BO82" s="19"/>
      <c r="BP82" s="19"/>
      <c r="BQ82" s="20"/>
      <c r="BR82" s="19" t="s">
        <v>111</v>
      </c>
      <c r="BS82" s="19"/>
      <c r="BT82" s="63" t="s">
        <v>112</v>
      </c>
      <c r="BU82" s="64"/>
      <c r="BV82" s="65"/>
      <c r="BW82" s="9"/>
      <c r="BX82" s="18" t="s">
        <v>110</v>
      </c>
      <c r="BY82" s="19"/>
      <c r="BZ82" s="19"/>
      <c r="CA82" s="19"/>
      <c r="CB82" s="19"/>
      <c r="CC82" s="19"/>
      <c r="CD82" s="52"/>
      <c r="CE82" s="52"/>
      <c r="CF82" s="20"/>
      <c r="CG82" s="19" t="s">
        <v>111</v>
      </c>
      <c r="CH82" s="19"/>
      <c r="CI82" s="63" t="s">
        <v>112</v>
      </c>
      <c r="CJ82" s="64"/>
      <c r="CK82" s="65"/>
      <c r="CL82" s="9"/>
    </row>
    <row r="83" spans="1:90" ht="11.15" customHeight="1" x14ac:dyDescent="0.2">
      <c r="A83" s="14"/>
      <c r="I83" s="9"/>
      <c r="L83" s="14"/>
      <c r="N83" s="66"/>
      <c r="O83" s="9"/>
      <c r="P83" s="14"/>
      <c r="X83" s="9"/>
      <c r="AA83" s="14"/>
      <c r="AC83" s="66"/>
      <c r="AD83" s="9"/>
      <c r="AE83" s="14"/>
      <c r="AM83" s="9"/>
      <c r="AP83" s="14"/>
      <c r="AR83" s="66"/>
      <c r="AS83" s="9"/>
      <c r="AT83" s="14"/>
      <c r="BB83" s="9"/>
      <c r="BE83" s="14"/>
      <c r="BG83" s="66"/>
      <c r="BH83" s="9"/>
      <c r="BI83" s="14"/>
      <c r="BQ83" s="9"/>
      <c r="BT83" s="14"/>
      <c r="BV83" s="66"/>
      <c r="BW83" s="9"/>
      <c r="BX83" s="14"/>
      <c r="CF83" s="9"/>
      <c r="CI83" s="14"/>
      <c r="CK83" s="66"/>
      <c r="CL83" s="9"/>
    </row>
    <row r="84" spans="1:90" ht="11.15" customHeight="1" x14ac:dyDescent="0.2">
      <c r="A84" s="14"/>
      <c r="I84" s="9"/>
      <c r="L84" s="67" t="s">
        <v>113</v>
      </c>
      <c r="M84" s="51"/>
      <c r="N84" s="68"/>
      <c r="O84" s="9"/>
      <c r="P84" s="14"/>
      <c r="X84" s="9"/>
      <c r="AA84" s="67" t="s">
        <v>113</v>
      </c>
      <c r="AB84" s="51"/>
      <c r="AC84" s="68"/>
      <c r="AD84" s="9"/>
      <c r="AE84" s="14"/>
      <c r="AM84" s="9"/>
      <c r="AP84" s="67" t="s">
        <v>113</v>
      </c>
      <c r="AQ84" s="51"/>
      <c r="AR84" s="68"/>
      <c r="AS84" s="9"/>
      <c r="AT84" s="14"/>
      <c r="BB84" s="9"/>
      <c r="BE84" s="67" t="s">
        <v>113</v>
      </c>
      <c r="BF84" s="51"/>
      <c r="BG84" s="68"/>
      <c r="BH84" s="9"/>
      <c r="BI84" s="14"/>
      <c r="BQ84" s="9"/>
      <c r="BT84" s="67" t="s">
        <v>113</v>
      </c>
      <c r="BU84" s="51"/>
      <c r="BV84" s="68"/>
      <c r="BW84" s="9"/>
      <c r="BX84" s="14"/>
      <c r="CF84" s="9"/>
      <c r="CI84" s="67" t="s">
        <v>113</v>
      </c>
      <c r="CJ84" s="51"/>
      <c r="CK84" s="68"/>
      <c r="CL84" s="9"/>
    </row>
    <row r="85" spans="1:90" x14ac:dyDescent="0.2">
      <c r="A85" s="18" t="s">
        <v>114</v>
      </c>
      <c r="B85" s="19"/>
      <c r="C85" s="19"/>
      <c r="D85" s="19"/>
      <c r="E85" s="19"/>
      <c r="F85" s="19"/>
      <c r="G85" s="19"/>
      <c r="H85" s="19"/>
      <c r="I85" s="20" t="s">
        <v>111</v>
      </c>
      <c r="J85" s="19"/>
      <c r="K85" s="19"/>
      <c r="L85" s="69" t="s">
        <v>115</v>
      </c>
      <c r="M85" s="70" t="s">
        <v>116</v>
      </c>
      <c r="N85" s="71" t="s">
        <v>117</v>
      </c>
      <c r="O85" s="9"/>
      <c r="P85" s="18" t="s">
        <v>118</v>
      </c>
      <c r="Q85" s="19"/>
      <c r="R85" s="19"/>
      <c r="S85" s="19"/>
      <c r="T85" s="19"/>
      <c r="U85" s="19"/>
      <c r="V85" s="19"/>
      <c r="W85" s="19"/>
      <c r="X85" s="20"/>
      <c r="Y85" s="19" t="s">
        <v>111</v>
      </c>
      <c r="Z85" s="19"/>
      <c r="AA85" s="69" t="s">
        <v>115</v>
      </c>
      <c r="AB85" s="70" t="s">
        <v>116</v>
      </c>
      <c r="AC85" s="71" t="s">
        <v>117</v>
      </c>
      <c r="AD85" s="9"/>
      <c r="AE85" s="18" t="s">
        <v>118</v>
      </c>
      <c r="AF85" s="19"/>
      <c r="AG85" s="19"/>
      <c r="AH85" s="19"/>
      <c r="AI85" s="19"/>
      <c r="AJ85" s="19"/>
      <c r="AK85" s="19"/>
      <c r="AL85" s="19"/>
      <c r="AM85" s="20"/>
      <c r="AN85" s="19" t="s">
        <v>111</v>
      </c>
      <c r="AO85" s="19"/>
      <c r="AP85" s="69" t="s">
        <v>115</v>
      </c>
      <c r="AQ85" s="70" t="s">
        <v>116</v>
      </c>
      <c r="AR85" s="71" t="s">
        <v>117</v>
      </c>
      <c r="AS85" s="9"/>
      <c r="AT85" s="18" t="s">
        <v>118</v>
      </c>
      <c r="AU85" s="19"/>
      <c r="AV85" s="19"/>
      <c r="AW85" s="19"/>
      <c r="AX85" s="19"/>
      <c r="AY85" s="19"/>
      <c r="AZ85" s="19"/>
      <c r="BA85" s="19"/>
      <c r="BB85" s="20"/>
      <c r="BC85" s="19" t="s">
        <v>111</v>
      </c>
      <c r="BD85" s="19"/>
      <c r="BE85" s="69" t="s">
        <v>115</v>
      </c>
      <c r="BF85" s="70" t="s">
        <v>116</v>
      </c>
      <c r="BG85" s="71" t="s">
        <v>117</v>
      </c>
      <c r="BH85" s="9"/>
      <c r="BI85" s="18" t="s">
        <v>118</v>
      </c>
      <c r="BJ85" s="19"/>
      <c r="BK85" s="19"/>
      <c r="BL85" s="19"/>
      <c r="BM85" s="19"/>
      <c r="BN85" s="19"/>
      <c r="BO85" s="19"/>
      <c r="BP85" s="19"/>
      <c r="BQ85" s="20"/>
      <c r="BR85" s="19" t="s">
        <v>111</v>
      </c>
      <c r="BS85" s="19"/>
      <c r="BT85" s="69" t="s">
        <v>115</v>
      </c>
      <c r="BU85" s="70" t="s">
        <v>116</v>
      </c>
      <c r="BV85" s="71" t="s">
        <v>117</v>
      </c>
      <c r="BW85" s="9"/>
      <c r="BX85" s="18" t="s">
        <v>118</v>
      </c>
      <c r="BY85" s="19"/>
      <c r="BZ85" s="19"/>
      <c r="CA85" s="19"/>
      <c r="CB85" s="19"/>
      <c r="CC85" s="19"/>
      <c r="CD85" s="19"/>
      <c r="CE85" s="19"/>
      <c r="CF85" s="20"/>
      <c r="CG85" s="19" t="s">
        <v>111</v>
      </c>
      <c r="CH85" s="19"/>
      <c r="CI85" s="69" t="s">
        <v>115</v>
      </c>
      <c r="CJ85" s="70" t="s">
        <v>116</v>
      </c>
      <c r="CK85" s="71" t="s">
        <v>117</v>
      </c>
      <c r="CL85" s="9"/>
    </row>
    <row r="86" spans="1:90" ht="11.15" customHeight="1" x14ac:dyDescent="0.2">
      <c r="A86" s="14"/>
      <c r="I86" s="9"/>
      <c r="L86" s="14"/>
      <c r="M86" s="9"/>
      <c r="N86" s="72"/>
      <c r="O86" s="9"/>
      <c r="P86" s="14"/>
      <c r="X86" s="9"/>
      <c r="AA86" s="14"/>
      <c r="AB86" s="9"/>
      <c r="AC86" s="72"/>
      <c r="AD86" s="9"/>
      <c r="AE86" s="14"/>
      <c r="AM86" s="9"/>
      <c r="AP86" s="14"/>
      <c r="AQ86" s="9"/>
      <c r="AR86" s="72"/>
      <c r="AS86" s="9"/>
      <c r="AT86" s="14"/>
      <c r="BB86" s="9"/>
      <c r="BE86" s="14"/>
      <c r="BF86" s="9"/>
      <c r="BG86" s="72"/>
      <c r="BH86" s="9"/>
      <c r="BI86" s="14"/>
      <c r="BQ86" s="9"/>
      <c r="BT86" s="14"/>
      <c r="BU86" s="9"/>
      <c r="BV86" s="72"/>
      <c r="BW86" s="9"/>
      <c r="BX86" s="14"/>
      <c r="CF86" s="9"/>
      <c r="CI86" s="14"/>
      <c r="CJ86" s="9"/>
      <c r="CK86" s="72"/>
      <c r="CL86" s="9"/>
    </row>
    <row r="87" spans="1:90" ht="11.15" customHeight="1" thickBot="1" x14ac:dyDescent="0.25">
      <c r="A87" s="73"/>
      <c r="B87" s="74"/>
      <c r="C87" s="74"/>
      <c r="D87" s="74"/>
      <c r="E87" s="74"/>
      <c r="F87" s="74"/>
      <c r="G87" s="74"/>
      <c r="H87" s="74"/>
      <c r="I87" s="24"/>
      <c r="J87" s="74"/>
      <c r="K87" s="74"/>
      <c r="L87" s="75"/>
      <c r="M87" s="76"/>
      <c r="N87" s="77"/>
      <c r="O87" s="9"/>
      <c r="P87" s="73"/>
      <c r="Q87" s="74"/>
      <c r="R87" s="74"/>
      <c r="S87" s="74"/>
      <c r="T87" s="74"/>
      <c r="U87" s="74"/>
      <c r="V87" s="74"/>
      <c r="W87" s="74"/>
      <c r="X87" s="24"/>
      <c r="Y87" s="74"/>
      <c r="Z87" s="74"/>
      <c r="AA87" s="75"/>
      <c r="AB87" s="76"/>
      <c r="AC87" s="77"/>
      <c r="AD87" s="9"/>
      <c r="AE87" s="73"/>
      <c r="AF87" s="74"/>
      <c r="AG87" s="74"/>
      <c r="AH87" s="74"/>
      <c r="AI87" s="74"/>
      <c r="AJ87" s="74"/>
      <c r="AK87" s="74"/>
      <c r="AL87" s="74"/>
      <c r="AM87" s="24"/>
      <c r="AN87" s="74"/>
      <c r="AO87" s="74"/>
      <c r="AP87" s="75"/>
      <c r="AQ87" s="76"/>
      <c r="AR87" s="77"/>
      <c r="AS87" s="9"/>
      <c r="AT87" s="73"/>
      <c r="AU87" s="74"/>
      <c r="AV87" s="74"/>
      <c r="AW87" s="74"/>
      <c r="AX87" s="74"/>
      <c r="AY87" s="74"/>
      <c r="AZ87" s="74"/>
      <c r="BA87" s="74"/>
      <c r="BB87" s="24"/>
      <c r="BC87" s="74"/>
      <c r="BD87" s="74"/>
      <c r="BE87" s="75"/>
      <c r="BF87" s="76"/>
      <c r="BG87" s="77"/>
      <c r="BH87" s="9"/>
      <c r="BI87" s="73"/>
      <c r="BJ87" s="74"/>
      <c r="BK87" s="74"/>
      <c r="BL87" s="74"/>
      <c r="BM87" s="74"/>
      <c r="BN87" s="74"/>
      <c r="BO87" s="74"/>
      <c r="BP87" s="74"/>
      <c r="BQ87" s="24"/>
      <c r="BR87" s="74"/>
      <c r="BS87" s="74"/>
      <c r="BT87" s="75"/>
      <c r="BU87" s="76"/>
      <c r="BV87" s="77"/>
      <c r="BW87" s="9"/>
      <c r="BX87" s="73"/>
      <c r="BY87" s="74"/>
      <c r="BZ87" s="74"/>
      <c r="CA87" s="74"/>
      <c r="CB87" s="74"/>
      <c r="CC87" s="74"/>
      <c r="CD87" s="74"/>
      <c r="CE87" s="74"/>
      <c r="CF87" s="24"/>
      <c r="CG87" s="74"/>
      <c r="CH87" s="74"/>
      <c r="CI87" s="75"/>
      <c r="CJ87" s="76"/>
      <c r="CK87" s="77"/>
      <c r="CL87" s="9"/>
    </row>
    <row r="88" spans="1:90" ht="10.5" x14ac:dyDescent="0.25">
      <c r="A88" s="81" t="s">
        <v>119</v>
      </c>
      <c r="B88" s="19"/>
      <c r="C88" s="19"/>
      <c r="D88" s="19"/>
      <c r="E88" s="19"/>
      <c r="F88" s="19"/>
      <c r="G88" s="19"/>
      <c r="H88" s="19"/>
      <c r="I88" s="79" t="s">
        <v>120</v>
      </c>
      <c r="K88" s="19"/>
      <c r="L88" s="78"/>
      <c r="M88" s="78"/>
      <c r="N88" s="78"/>
      <c r="P88" s="81" t="str">
        <f>A88</f>
        <v xml:space="preserve"> NSF Form 1030 (10/99) Supersedes All Previous Editions</v>
      </c>
      <c r="Q88" s="19"/>
      <c r="R88" s="19"/>
      <c r="S88" s="19"/>
      <c r="T88" s="19"/>
      <c r="U88" s="19"/>
      <c r="V88" s="19"/>
      <c r="W88" s="19"/>
      <c r="X88" s="79" t="s">
        <v>120</v>
      </c>
      <c r="Z88" s="19"/>
      <c r="AA88" s="78"/>
      <c r="AB88" s="78"/>
      <c r="AC88" s="78"/>
      <c r="AE88" s="81" t="str">
        <f>+A88</f>
        <v xml:space="preserve"> NSF Form 1030 (10/99) Supersedes All Previous Editions</v>
      </c>
      <c r="AF88" s="19"/>
      <c r="AG88" s="19"/>
      <c r="AH88" s="19"/>
      <c r="AI88" s="19"/>
      <c r="AJ88" s="19"/>
      <c r="AK88" s="19"/>
      <c r="AL88" s="19"/>
      <c r="AM88" s="79" t="s">
        <v>120</v>
      </c>
      <c r="AO88" s="19"/>
      <c r="AP88" s="78"/>
      <c r="AQ88" s="78"/>
      <c r="AR88" s="78"/>
      <c r="AT88" s="81" t="str">
        <f>+P88</f>
        <v xml:space="preserve"> NSF Form 1030 (10/99) Supersedes All Previous Editions</v>
      </c>
      <c r="AU88" s="19"/>
      <c r="AV88" s="19"/>
      <c r="AW88" s="19"/>
      <c r="AX88" s="19"/>
      <c r="AY88" s="19"/>
      <c r="AZ88" s="19"/>
      <c r="BA88" s="19"/>
      <c r="BB88" s="79" t="s">
        <v>120</v>
      </c>
      <c r="BD88" s="19"/>
      <c r="BE88" s="78"/>
      <c r="BF88" s="78"/>
      <c r="BG88" s="78"/>
      <c r="BI88" s="81" t="str">
        <f>+AE88</f>
        <v xml:space="preserve"> NSF Form 1030 (10/99) Supersedes All Previous Editions</v>
      </c>
      <c r="BJ88" s="19"/>
      <c r="BK88" s="19"/>
      <c r="BL88" s="19"/>
      <c r="BM88" s="19"/>
      <c r="BN88" s="19"/>
      <c r="BO88" s="19"/>
      <c r="BP88" s="19"/>
      <c r="BQ88" s="79" t="s">
        <v>120</v>
      </c>
      <c r="BS88" s="19"/>
      <c r="BT88" s="78"/>
      <c r="BU88" s="78"/>
      <c r="BV88" s="78"/>
      <c r="BX88" s="81" t="str">
        <f>+A88</f>
        <v xml:space="preserve"> NSF Form 1030 (10/99) Supersedes All Previous Editions</v>
      </c>
      <c r="BY88" s="19"/>
      <c r="BZ88" s="19"/>
      <c r="CA88" s="19"/>
      <c r="CB88" s="19"/>
      <c r="CC88" s="19"/>
      <c r="CD88" s="19"/>
      <c r="CE88" s="19"/>
      <c r="CF88" s="79" t="s">
        <v>120</v>
      </c>
      <c r="CH88" s="19"/>
      <c r="CI88" s="78"/>
      <c r="CJ88" s="78"/>
      <c r="CK88" s="78"/>
    </row>
    <row r="89" spans="1:90" x14ac:dyDescent="0.2">
      <c r="I89" s="35"/>
      <c r="X89" s="35"/>
      <c r="AK89" s="35"/>
      <c r="AZ89" s="35"/>
      <c r="BO89" s="35"/>
      <c r="CF89" s="35"/>
    </row>
    <row r="91" spans="1:90" x14ac:dyDescent="0.2">
      <c r="A91" s="52"/>
      <c r="B91" s="52"/>
      <c r="C91" s="52"/>
      <c r="D91" s="52"/>
      <c r="E91" s="52"/>
    </row>
    <row r="92" spans="1:90" ht="10.5" x14ac:dyDescent="0.25">
      <c r="A92" s="352"/>
      <c r="B92" s="52"/>
      <c r="C92" s="405"/>
      <c r="D92" s="406"/>
      <c r="E92" s="52"/>
    </row>
    <row r="93" spans="1:90" x14ac:dyDescent="0.2">
      <c r="A93" s="52"/>
      <c r="B93" s="52"/>
      <c r="C93" s="403"/>
      <c r="D93" s="404"/>
      <c r="E93" s="52"/>
    </row>
    <row r="94" spans="1:90" x14ac:dyDescent="0.2">
      <c r="A94" s="52"/>
      <c r="B94" s="52"/>
      <c r="C94" s="403"/>
      <c r="D94" s="404"/>
      <c r="E94" s="52"/>
    </row>
    <row r="95" spans="1:90" x14ac:dyDescent="0.2">
      <c r="A95" s="52"/>
      <c r="B95" s="52"/>
      <c r="C95" s="403"/>
      <c r="D95" s="404"/>
      <c r="E95" s="52"/>
    </row>
    <row r="96" spans="1:90" x14ac:dyDescent="0.2">
      <c r="A96" s="52"/>
      <c r="B96" s="52"/>
      <c r="C96" s="403"/>
      <c r="D96" s="404"/>
      <c r="E96" s="52"/>
    </row>
    <row r="97" spans="1:5" x14ac:dyDescent="0.2">
      <c r="A97" s="52"/>
      <c r="B97" s="52"/>
      <c r="C97" s="403"/>
      <c r="D97" s="404"/>
      <c r="E97" s="52"/>
    </row>
    <row r="98" spans="1:5" x14ac:dyDescent="0.2">
      <c r="A98" s="52"/>
      <c r="B98" s="52"/>
      <c r="C98" s="403"/>
      <c r="D98" s="404"/>
      <c r="E98" s="52"/>
    </row>
    <row r="99" spans="1:5" x14ac:dyDescent="0.2">
      <c r="A99" s="52"/>
      <c r="B99" s="52"/>
      <c r="C99" s="403"/>
      <c r="D99" s="404"/>
      <c r="E99" s="52"/>
    </row>
    <row r="100" spans="1:5" x14ac:dyDescent="0.2">
      <c r="A100" s="52"/>
      <c r="B100" s="52"/>
      <c r="C100" s="403"/>
      <c r="D100" s="404"/>
      <c r="E100" s="52"/>
    </row>
    <row r="101" spans="1:5" x14ac:dyDescent="0.2">
      <c r="A101" s="52"/>
      <c r="B101" s="52"/>
      <c r="C101" s="403"/>
      <c r="D101" s="404"/>
      <c r="E101" s="52"/>
    </row>
    <row r="102" spans="1:5" x14ac:dyDescent="0.2">
      <c r="A102" s="52"/>
      <c r="B102" s="52"/>
      <c r="C102" s="403"/>
      <c r="D102" s="404"/>
      <c r="E102" s="52"/>
    </row>
    <row r="103" spans="1:5" x14ac:dyDescent="0.2">
      <c r="A103" s="52"/>
      <c r="B103" s="52"/>
      <c r="C103" s="52"/>
      <c r="D103" s="52"/>
      <c r="E103" s="52"/>
    </row>
  </sheetData>
  <sheetProtection formatColumns="0"/>
  <mergeCells count="27">
    <mergeCell ref="AE2:AI2"/>
    <mergeCell ref="AE3:AI3"/>
    <mergeCell ref="BM71:BO71"/>
    <mergeCell ref="E71:G71"/>
    <mergeCell ref="T71:V71"/>
    <mergeCell ref="AI71:AK71"/>
    <mergeCell ref="AX71:AZ71"/>
    <mergeCell ref="A8:F8"/>
    <mergeCell ref="G8:J8"/>
    <mergeCell ref="A16:F16"/>
    <mergeCell ref="B17:E17"/>
    <mergeCell ref="H17:H18"/>
    <mergeCell ref="B18:E18"/>
    <mergeCell ref="A22:B22"/>
    <mergeCell ref="I19:K19"/>
    <mergeCell ref="G19:H19"/>
    <mergeCell ref="C92:D92"/>
    <mergeCell ref="C93:D93"/>
    <mergeCell ref="C94:D94"/>
    <mergeCell ref="C95:D95"/>
    <mergeCell ref="C96:D96"/>
    <mergeCell ref="C99:D99"/>
    <mergeCell ref="C100:D100"/>
    <mergeCell ref="C101:D101"/>
    <mergeCell ref="C102:D102"/>
    <mergeCell ref="C97:D97"/>
    <mergeCell ref="C98:D98"/>
  </mergeCells>
  <phoneticPr fontId="0" type="noConversion"/>
  <dataValidations disablePrompts="1" count="2">
    <dataValidation allowBlank="1" showInputMessage="1" showErrorMessage="1" promptTitle="Reminder" prompt="Postdoc minimum amounts can be found at:_x000a__x000a_http://www.grad-college.iastate.edu/post_doc/policies.php" sqref="M38" xr:uid="{00000000-0002-0000-0000-000000000000}"/>
    <dataValidation type="list" allowBlank="1" showInputMessage="1" showErrorMessage="1" sqref="E22 T22 AI22 AX22 BM22" xr:uid="{00000000-0002-0000-0000-000001000000}">
      <formula1>$A$93:$A$98</formula1>
    </dataValidation>
  </dataValidations>
  <hyperlinks>
    <hyperlink ref="F68:J68" r:id="rId1" display="[maximum allowable rate @ http://www.nsf.gov/bfa/dias/policy/]" xr:uid="{00000000-0004-0000-0000-000000000000}"/>
  </hyperlinks>
  <printOptions gridLinesSet="0"/>
  <pageMargins left="0" right="0" top="0" bottom="0" header="0.5" footer="0.5"/>
  <pageSetup scale="95" orientation="portrait" horizontalDpi="4294967295" verticalDpi="4294967295" r:id="rId2"/>
  <headerFooter alignWithMargins="0"/>
  <colBreaks count="2" manualBreakCount="2">
    <brk id="15" max="1048575" man="1"/>
    <brk id="30" max="1048575" man="1"/>
  </colBreak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00000"/>
    <pageSetUpPr fitToPage="1"/>
  </sheetPr>
  <dimension ref="A1:U285"/>
  <sheetViews>
    <sheetView showZeros="0" zoomScaleNormal="100" zoomScaleSheetLayoutView="70" workbookViewId="0">
      <pane xSplit="9" ySplit="4" topLeftCell="J61" activePane="bottomRight" state="frozen"/>
      <selection activeCell="A12" sqref="A12"/>
      <selection pane="topRight" activeCell="A12" sqref="A12"/>
      <selection pane="bottomLeft" activeCell="A12" sqref="A12"/>
      <selection pane="bottomRight" activeCell="K84" sqref="K84"/>
    </sheetView>
  </sheetViews>
  <sheetFormatPr defaultColWidth="9.33203125" defaultRowHeight="12.5" x14ac:dyDescent="0.25"/>
  <cols>
    <col min="1" max="1" width="9.33203125" style="144"/>
    <col min="2" max="2" width="2" style="144" customWidth="1"/>
    <col min="3" max="3" width="9.33203125" style="144"/>
    <col min="4" max="4" width="2" style="144" customWidth="1"/>
    <col min="5" max="8" width="9.33203125" style="144"/>
    <col min="9" max="9" width="19" style="144" customWidth="1"/>
    <col min="10" max="10" width="3.109375" style="144" customWidth="1"/>
    <col min="11" max="11" width="14.33203125" style="144" customWidth="1"/>
    <col min="12" max="12" width="3.109375" style="144" customWidth="1"/>
    <col min="13" max="13" width="14.33203125" style="144" customWidth="1"/>
    <col min="14" max="14" width="3.109375" style="144" customWidth="1"/>
    <col min="15" max="15" width="14.33203125" style="144" customWidth="1"/>
    <col min="16" max="16" width="3.109375" style="144" customWidth="1"/>
    <col min="17" max="17" width="14.33203125" style="144" customWidth="1"/>
    <col min="18" max="18" width="3.109375" style="144" customWidth="1"/>
    <col min="19" max="19" width="14.33203125" style="144" customWidth="1"/>
    <col min="20" max="16384" width="9.33203125" style="144"/>
  </cols>
  <sheetData>
    <row r="1" spans="1:19" s="141" customFormat="1" ht="15.5" x14ac:dyDescent="0.35">
      <c r="A1" s="180"/>
      <c r="B1" s="180"/>
      <c r="C1" s="229" t="s">
        <v>189</v>
      </c>
      <c r="D1" s="180"/>
      <c r="E1" s="180"/>
      <c r="F1" s="180"/>
      <c r="G1" s="180"/>
      <c r="H1" s="180"/>
      <c r="I1" s="180"/>
      <c r="J1" s="180"/>
      <c r="K1" s="230" t="s">
        <v>0</v>
      </c>
      <c r="L1" s="180"/>
      <c r="M1" s="230" t="s">
        <v>3</v>
      </c>
      <c r="N1" s="180"/>
      <c r="O1" s="230" t="s">
        <v>6</v>
      </c>
      <c r="P1" s="180"/>
      <c r="Q1" s="230" t="s">
        <v>9</v>
      </c>
      <c r="R1" s="180"/>
      <c r="S1" s="230" t="s">
        <v>12</v>
      </c>
    </row>
    <row r="2" spans="1:19" s="142" customFormat="1" ht="13" x14ac:dyDescent="0.3">
      <c r="A2" s="188"/>
      <c r="B2" s="188"/>
      <c r="C2" s="231"/>
      <c r="D2" s="188"/>
      <c r="E2" s="188"/>
      <c r="F2" s="188"/>
      <c r="G2" s="188"/>
      <c r="H2" s="188"/>
      <c r="I2" s="188"/>
      <c r="J2" s="188"/>
      <c r="K2" s="232"/>
      <c r="L2" s="188"/>
      <c r="M2" s="232"/>
      <c r="N2" s="188"/>
      <c r="O2" s="232"/>
      <c r="P2" s="188"/>
      <c r="Q2" s="232"/>
      <c r="R2" s="188"/>
      <c r="S2" s="232"/>
    </row>
    <row r="3" spans="1:19" s="143" customFormat="1" ht="25" x14ac:dyDescent="0.25">
      <c r="A3" s="233"/>
      <c r="B3" s="233"/>
      <c r="C3" s="440"/>
      <c r="D3" s="440"/>
      <c r="E3" s="440"/>
      <c r="F3" s="440"/>
      <c r="G3" s="440"/>
      <c r="H3" s="440"/>
      <c r="I3" s="440"/>
      <c r="J3" s="233"/>
      <c r="K3" s="233" t="s">
        <v>127</v>
      </c>
      <c r="L3" s="233"/>
      <c r="M3" s="233" t="s">
        <v>127</v>
      </c>
      <c r="N3" s="233"/>
      <c r="O3" s="233" t="s">
        <v>127</v>
      </c>
      <c r="P3" s="233"/>
      <c r="Q3" s="233" t="s">
        <v>127</v>
      </c>
      <c r="R3" s="233"/>
      <c r="S3" s="233" t="s">
        <v>127</v>
      </c>
    </row>
    <row r="4" spans="1:19" s="141" customFormat="1" ht="6" customHeight="1" x14ac:dyDescent="0.35">
      <c r="A4" s="180"/>
      <c r="B4" s="180"/>
      <c r="C4" s="180"/>
      <c r="D4" s="180"/>
      <c r="E4" s="180"/>
      <c r="F4" s="180"/>
      <c r="G4" s="180"/>
      <c r="H4" s="180"/>
      <c r="I4" s="180"/>
      <c r="J4" s="180"/>
      <c r="K4" s="180"/>
      <c r="L4" s="180"/>
      <c r="M4" s="180"/>
      <c r="N4" s="180"/>
      <c r="O4" s="180"/>
      <c r="P4" s="180"/>
      <c r="Q4" s="180"/>
      <c r="R4" s="180"/>
      <c r="S4" s="180"/>
    </row>
    <row r="5" spans="1:19" s="141" customFormat="1" ht="6" customHeight="1" x14ac:dyDescent="0.35">
      <c r="A5" s="180"/>
      <c r="B5" s="180"/>
      <c r="C5" s="226"/>
      <c r="D5" s="226"/>
      <c r="E5" s="226"/>
      <c r="F5" s="226"/>
      <c r="G5" s="226"/>
      <c r="H5" s="226"/>
      <c r="I5" s="226"/>
      <c r="J5" s="180"/>
      <c r="K5" s="183"/>
      <c r="L5" s="180"/>
      <c r="M5" s="183"/>
      <c r="N5" s="180"/>
      <c r="O5" s="183"/>
      <c r="P5" s="180"/>
      <c r="Q5" s="183"/>
      <c r="R5" s="180"/>
      <c r="S5" s="183"/>
    </row>
    <row r="6" spans="1:19" s="180" customFormat="1" ht="30" customHeight="1" x14ac:dyDescent="0.35">
      <c r="A6" s="179">
        <v>8</v>
      </c>
      <c r="C6" s="439" t="s">
        <v>192</v>
      </c>
      <c r="D6" s="439"/>
      <c r="E6" s="439"/>
      <c r="F6" s="439"/>
      <c r="G6" s="181" t="s">
        <v>128</v>
      </c>
      <c r="H6" s="226"/>
      <c r="I6" s="182" t="s">
        <v>138</v>
      </c>
      <c r="K6" s="183">
        <f>ROUND(IF(I6="1/2-time",K7,K8),0)</f>
        <v>0</v>
      </c>
      <c r="M6" s="183">
        <f>ROUND(IF(I6="1/2-time",M7,M8),0)</f>
        <v>0</v>
      </c>
      <c r="O6" s="183">
        <f>ROUND(IF(I6="1/2-time",O7,O8),0)</f>
        <v>0</v>
      </c>
      <c r="Q6" s="183">
        <f>ROUND(IF(I6="1/2-time",Q7,Q8),0)</f>
        <v>0</v>
      </c>
      <c r="S6" s="183">
        <f>ROUND(IF(I6="1/2-time",S7,S8),0)</f>
        <v>0</v>
      </c>
    </row>
    <row r="7" spans="1:19" s="180" customFormat="1" ht="15" hidden="1" customHeight="1" x14ac:dyDescent="0.35">
      <c r="A7" s="180">
        <v>8</v>
      </c>
      <c r="C7" s="433" t="s">
        <v>130</v>
      </c>
      <c r="D7" s="433"/>
      <c r="E7" s="433"/>
      <c r="F7" s="433"/>
      <c r="G7" s="226"/>
      <c r="H7" s="226"/>
      <c r="I7" s="226" t="s">
        <v>131</v>
      </c>
      <c r="K7" s="183">
        <f>+C13*VLOOKUP(K13,$I$111:$Q$137,5,FALSE)+C15*VLOOKUP(K15,$I$111:$Q$137,5,FALSE)+C17*VLOOKUP(K17,$I$111:$Q$137,5,FALSE)+C19*VLOOKUP(K19,$I$111:$Q$137,9,FALSE)+C21*VLOOKUP(K21,$I$111:$Q$137,9,FALSE)+C23*VLOOKUP(K23,$I$111:$Q$137,9,FALSE)</f>
        <v>0</v>
      </c>
      <c r="M7" s="183">
        <f>+E13*VLOOKUP(M13,$I$111:$Q$137,5,FALSE)+E15*VLOOKUP(M15,$I$111:$Q$137,5,FALSE)+E17*VLOOKUP(M17,$I$111:$Q$137,5,FALSE)+E19*VLOOKUP(M19,$I$111:$Q$137,9,FALSE)+E21*VLOOKUP(M21,$I$111:$Q$137,9,FALSE)+E23*VLOOKUP(M23,$I$111:$Q$137,9,FALSE)</f>
        <v>0</v>
      </c>
      <c r="O7" s="183">
        <f>+F13*VLOOKUP(O13,$I$111:$Q$137,5,FALSE)+F15*VLOOKUP(O15,$I$111:$Q$137,5,FALSE)+F17*VLOOKUP(O17,$I$111:$Q$137,5,FALSE)+F19*VLOOKUP(O19,$I$111:$Q$137,9,FALSE)+F21*VLOOKUP(O21,$I$111:$Q$137,9,FALSE)+F23*VLOOKUP(O23,$I$111:$Q$137,9,FALSE)</f>
        <v>0</v>
      </c>
      <c r="Q7" s="183">
        <f>+G13*VLOOKUP(Q13,$I$111:$Q$137,5,FALSE)+G15*VLOOKUP(Q15,$I$111:$Q$137,5,FALSE)+G17*VLOOKUP(Q17,$I$111:$Q$137,5,FALSE)+G19*VLOOKUP(Q19,$I$111:$Q$137,9,FALSE)+G21*VLOOKUP(Q21,$I$111:$Q$137,9,FALSE)+G23*VLOOKUP(Q23,$I$111:$Q$137,9,FALSE)</f>
        <v>0</v>
      </c>
      <c r="S7" s="183">
        <f>+H13*VLOOKUP(S13,$I$111:$Q$137,5,FALSE)+H15*VLOOKUP(S15,$I$111:$Q$137,5,FALSE)+H17*VLOOKUP(S17,$I$111:$Q$137,5,FALSE)+H19*VLOOKUP(S19,$I$111:$Q$137,9,FALSE)+H21*VLOOKUP(S21,$I$111:$Q$137,9,FALSE)+H23*VLOOKUP(S23,$I$111:$Q$137,9,FALSE)</f>
        <v>0</v>
      </c>
    </row>
    <row r="8" spans="1:19" s="180" customFormat="1" ht="15" hidden="1" customHeight="1" x14ac:dyDescent="0.35">
      <c r="A8" s="180">
        <v>8</v>
      </c>
      <c r="C8" s="433" t="s">
        <v>130</v>
      </c>
      <c r="D8" s="433"/>
      <c r="E8" s="433"/>
      <c r="F8" s="433"/>
      <c r="G8" s="226"/>
      <c r="H8" s="226"/>
      <c r="I8" s="226" t="s">
        <v>132</v>
      </c>
      <c r="K8" s="183">
        <f>+C13*VLOOKUP(K13,$I$111:$Q$137,3,FALSE)+C15*VLOOKUP(K15,$I$111:$Q$137,3,FALSE)+C17*VLOOKUP(K17,$I$111:$Q$137,3,FALSE)+C19*VLOOKUP(K19,$I$111:$Q$137,7,FALSE)+C21*VLOOKUP(K21,$I$111:$Q$137,7,FALSE)+C23*VLOOKUP(K23,$I$111:$Q$137,7,FALSE)</f>
        <v>0</v>
      </c>
      <c r="M8" s="183">
        <f>+E13*VLOOKUP(M13,$I$111:$Q$137,3,FALSE)+E15*VLOOKUP(M15,$I$111:$Q$137,3,FALSE)+E17*VLOOKUP(M17,$I$111:$Q$137,3,FALSE)+E19*VLOOKUP(M19,$I$111:$Q$137,7,FALSE)+E21*VLOOKUP(M21,$I$111:$Q$137,7,FALSE)+E23*VLOOKUP(M23,$I$111:$Q$137,7,FALSE)</f>
        <v>0</v>
      </c>
      <c r="O8" s="183">
        <f>+F13*VLOOKUP(O13,$I$111:$Q$137,3,FALSE)+F15*VLOOKUP(O15,$I$111:$Q$137,3,FALSE)+F17*VLOOKUP(O17,$I$111:$Q$137,3,FALSE)+F19*VLOOKUP(O19,$I$111:$Q$137,7,FALSE)+F21*VLOOKUP(O21,$I$111:$Q$137,7,FALSE)+F23*VLOOKUP(O23,$I$111:$Q$137,7,FALSE)</f>
        <v>0</v>
      </c>
      <c r="Q8" s="183">
        <f>+G13*VLOOKUP(Q13,$I$111:$Q$137,3,FALSE)+G15*VLOOKUP(Q15,$I$111:$Q$137,3,FALSE)+G17*VLOOKUP(Q17,$I$111:$Q$137,3,FALSE)+G19*VLOOKUP(Q19,$I$111:$Q$137,7,FALSE)+G21*VLOOKUP(Q21,$I$111:$Q$137,7,FALSE)+G23*VLOOKUP(Q23,$I$111:$Q$137,7,FALSE)</f>
        <v>0</v>
      </c>
      <c r="S8" s="183">
        <f>+H13*VLOOKUP(S13,$I$111:$Q$137,3,FALSE)+H15*VLOOKUP(S15,$I$111:$Q$137,3,FALSE)+H17*VLOOKUP(S17,$I$111:$Q$137,3,FALSE)+H19*VLOOKUP(S19,$I$111:$Q$137,7,FALSE)+H21*VLOOKUP(S21,$I$111:$Q$137,7,FALSE)+H23*VLOOKUP(S23,$I$111:$Q$137,7,FALSE)</f>
        <v>0</v>
      </c>
    </row>
    <row r="9" spans="1:19" s="180" customFormat="1" ht="6" customHeight="1" x14ac:dyDescent="0.35">
      <c r="C9" s="184"/>
      <c r="D9" s="184"/>
      <c r="E9" s="184"/>
      <c r="F9" s="184"/>
      <c r="G9" s="184"/>
      <c r="H9" s="184"/>
      <c r="I9" s="185"/>
      <c r="J9" s="186"/>
      <c r="K9" s="186"/>
      <c r="L9" s="186"/>
      <c r="M9" s="186"/>
      <c r="N9" s="186"/>
      <c r="O9" s="186"/>
      <c r="P9" s="186"/>
      <c r="Q9" s="186"/>
      <c r="R9" s="186"/>
      <c r="S9" s="186"/>
    </row>
    <row r="10" spans="1:19" s="188" customFormat="1" ht="6" customHeight="1" x14ac:dyDescent="0.25">
      <c r="A10" s="187"/>
      <c r="C10" s="189"/>
      <c r="D10" s="189"/>
      <c r="E10" s="189"/>
      <c r="F10" s="190"/>
      <c r="G10" s="190"/>
      <c r="H10" s="189"/>
      <c r="I10" s="191"/>
      <c r="J10" s="192"/>
      <c r="K10" s="191"/>
      <c r="L10" s="191"/>
      <c r="M10" s="191"/>
      <c r="N10" s="191"/>
      <c r="O10" s="191"/>
      <c r="P10" s="191"/>
      <c r="Q10" s="191"/>
      <c r="R10" s="191"/>
      <c r="S10" s="191"/>
    </row>
    <row r="11" spans="1:19" s="188" customFormat="1" ht="25" customHeight="1" x14ac:dyDescent="0.25">
      <c r="A11" s="187"/>
      <c r="C11" s="434" t="s">
        <v>193</v>
      </c>
      <c r="D11" s="435"/>
      <c r="E11" s="435"/>
      <c r="F11" s="435"/>
      <c r="G11" s="435"/>
      <c r="H11" s="436"/>
      <c r="I11" s="191"/>
      <c r="J11" s="192"/>
      <c r="K11" s="191"/>
      <c r="L11" s="191"/>
      <c r="M11" s="191"/>
      <c r="N11" s="191"/>
      <c r="O11" s="191"/>
      <c r="P11" s="191"/>
      <c r="Q11" s="191"/>
      <c r="R11" s="191"/>
      <c r="S11" s="191"/>
    </row>
    <row r="12" spans="1:19" s="188" customFormat="1" ht="12" customHeight="1" x14ac:dyDescent="0.25">
      <c r="C12" s="193" t="s">
        <v>0</v>
      </c>
      <c r="D12" s="193"/>
      <c r="E12" s="193" t="s">
        <v>3</v>
      </c>
      <c r="F12" s="193" t="s">
        <v>6</v>
      </c>
      <c r="G12" s="193" t="s">
        <v>9</v>
      </c>
      <c r="H12" s="193" t="s">
        <v>12</v>
      </c>
      <c r="I12" s="193"/>
      <c r="J12" s="194"/>
      <c r="K12" s="194"/>
      <c r="L12" s="194"/>
      <c r="M12" s="194"/>
      <c r="N12" s="194"/>
      <c r="O12" s="194"/>
      <c r="P12" s="194"/>
      <c r="Q12" s="194"/>
      <c r="R12" s="194"/>
      <c r="S12" s="194"/>
    </row>
    <row r="13" spans="1:19" s="188" customFormat="1" ht="25" customHeight="1" x14ac:dyDescent="0.25">
      <c r="A13" s="443" t="s">
        <v>133</v>
      </c>
      <c r="C13" s="430"/>
      <c r="D13" s="430"/>
      <c r="E13" s="227"/>
      <c r="F13" s="227"/>
      <c r="G13" s="195"/>
      <c r="H13" s="227"/>
      <c r="I13" s="196" t="s">
        <v>134</v>
      </c>
      <c r="K13" s="197" t="s">
        <v>202</v>
      </c>
      <c r="L13" s="196"/>
      <c r="M13" s="197" t="s">
        <v>202</v>
      </c>
      <c r="N13" s="196"/>
      <c r="O13" s="197" t="s">
        <v>203</v>
      </c>
      <c r="P13" s="196"/>
      <c r="Q13" s="197" t="s">
        <v>206</v>
      </c>
      <c r="R13" s="196"/>
      <c r="S13" s="197" t="s">
        <v>210</v>
      </c>
    </row>
    <row r="14" spans="1:19" s="188" customFormat="1" ht="6" customHeight="1" x14ac:dyDescent="0.25">
      <c r="A14" s="444"/>
      <c r="C14" s="198"/>
      <c r="D14" s="198"/>
      <c r="E14" s="199"/>
      <c r="F14" s="199"/>
      <c r="G14" s="199"/>
      <c r="H14" s="199"/>
      <c r="I14" s="196"/>
      <c r="K14" s="196"/>
      <c r="L14" s="196"/>
      <c r="M14" s="196"/>
      <c r="N14" s="196"/>
      <c r="O14" s="196"/>
      <c r="P14" s="196"/>
      <c r="Q14" s="196"/>
      <c r="R14" s="196"/>
      <c r="S14" s="196"/>
    </row>
    <row r="15" spans="1:19" s="188" customFormat="1" ht="25" customHeight="1" x14ac:dyDescent="0.25">
      <c r="A15" s="444"/>
      <c r="C15" s="430"/>
      <c r="D15" s="430"/>
      <c r="E15" s="227"/>
      <c r="F15" s="200"/>
      <c r="G15" s="195"/>
      <c r="H15" s="227"/>
      <c r="I15" s="196" t="s">
        <v>135</v>
      </c>
      <c r="K15" s="197" t="s">
        <v>190</v>
      </c>
      <c r="L15" s="196"/>
      <c r="M15" s="197" t="s">
        <v>198</v>
      </c>
      <c r="N15" s="196"/>
      <c r="O15" s="197" t="s">
        <v>199</v>
      </c>
      <c r="P15" s="196"/>
      <c r="Q15" s="197" t="s">
        <v>205</v>
      </c>
      <c r="R15" s="196"/>
      <c r="S15" s="197" t="s">
        <v>208</v>
      </c>
    </row>
    <row r="16" spans="1:19" s="188" customFormat="1" ht="6" customHeight="1" x14ac:dyDescent="0.25">
      <c r="A16" s="444"/>
      <c r="C16" s="198"/>
      <c r="D16" s="198"/>
      <c r="E16" s="199"/>
      <c r="F16" s="199"/>
      <c r="G16" s="199"/>
      <c r="H16" s="199"/>
      <c r="I16" s="196"/>
      <c r="K16" s="196"/>
      <c r="L16" s="196"/>
      <c r="M16" s="196"/>
      <c r="N16" s="196"/>
      <c r="O16" s="196"/>
      <c r="P16" s="196"/>
      <c r="Q16" s="196"/>
      <c r="R16" s="196"/>
      <c r="S16" s="196"/>
    </row>
    <row r="17" spans="1:19" s="188" customFormat="1" ht="25" customHeight="1" x14ac:dyDescent="0.25">
      <c r="A17" s="444"/>
      <c r="C17" s="430"/>
      <c r="D17" s="430"/>
      <c r="E17" s="227"/>
      <c r="F17" s="200"/>
      <c r="G17" s="195"/>
      <c r="H17" s="227"/>
      <c r="I17" s="196" t="s">
        <v>136</v>
      </c>
      <c r="K17" s="197" t="s">
        <v>200</v>
      </c>
      <c r="L17" s="196"/>
      <c r="M17" s="197" t="s">
        <v>201</v>
      </c>
      <c r="N17" s="196"/>
      <c r="O17" s="197" t="s">
        <v>204</v>
      </c>
      <c r="P17" s="196"/>
      <c r="Q17" s="197" t="s">
        <v>207</v>
      </c>
      <c r="R17" s="196"/>
      <c r="S17" s="197" t="s">
        <v>209</v>
      </c>
    </row>
    <row r="18" spans="1:19" s="188" customFormat="1" ht="12" customHeight="1" x14ac:dyDescent="0.25">
      <c r="C18" s="193" t="s">
        <v>0</v>
      </c>
      <c r="D18" s="193"/>
      <c r="E18" s="193" t="s">
        <v>3</v>
      </c>
      <c r="F18" s="193" t="s">
        <v>6</v>
      </c>
      <c r="G18" s="193" t="s">
        <v>9</v>
      </c>
      <c r="H18" s="193" t="s">
        <v>12</v>
      </c>
      <c r="I18" s="193"/>
      <c r="J18" s="194"/>
      <c r="K18" s="201"/>
      <c r="L18" s="201"/>
      <c r="M18" s="201"/>
      <c r="N18" s="201"/>
      <c r="O18" s="201"/>
      <c r="P18" s="201"/>
      <c r="Q18" s="201"/>
      <c r="R18" s="201"/>
      <c r="S18" s="201"/>
    </row>
    <row r="19" spans="1:19" s="188" customFormat="1" ht="25" customHeight="1" x14ac:dyDescent="0.25">
      <c r="A19" s="443" t="s">
        <v>137</v>
      </c>
      <c r="C19" s="430"/>
      <c r="D19" s="430"/>
      <c r="E19" s="227"/>
      <c r="F19" s="227"/>
      <c r="G19" s="195"/>
      <c r="H19" s="227"/>
      <c r="I19" s="196" t="s">
        <v>134</v>
      </c>
      <c r="K19" s="197" t="s">
        <v>191</v>
      </c>
      <c r="L19" s="196"/>
      <c r="M19" s="197" t="s">
        <v>202</v>
      </c>
      <c r="N19" s="196"/>
      <c r="O19" s="197" t="s">
        <v>203</v>
      </c>
      <c r="P19" s="196"/>
      <c r="Q19" s="197" t="s">
        <v>206</v>
      </c>
      <c r="R19" s="196"/>
      <c r="S19" s="197" t="s">
        <v>210</v>
      </c>
    </row>
    <row r="20" spans="1:19" s="188" customFormat="1" ht="6" customHeight="1" x14ac:dyDescent="0.25">
      <c r="A20" s="444"/>
      <c r="C20" s="198"/>
      <c r="D20" s="198"/>
      <c r="E20" s="199"/>
      <c r="F20" s="199"/>
      <c r="G20" s="199"/>
      <c r="H20" s="199"/>
      <c r="I20" s="196"/>
      <c r="K20" s="196"/>
      <c r="L20" s="196"/>
      <c r="M20" s="196"/>
      <c r="N20" s="196"/>
      <c r="O20" s="196"/>
      <c r="P20" s="196"/>
      <c r="Q20" s="196"/>
      <c r="R20" s="196"/>
      <c r="S20" s="196"/>
    </row>
    <row r="21" spans="1:19" s="188" customFormat="1" ht="25" customHeight="1" x14ac:dyDescent="0.25">
      <c r="A21" s="444"/>
      <c r="C21" s="430"/>
      <c r="D21" s="430"/>
      <c r="E21" s="227"/>
      <c r="F21" s="200"/>
      <c r="G21" s="195"/>
      <c r="H21" s="227"/>
      <c r="I21" s="196" t="s">
        <v>135</v>
      </c>
      <c r="K21" s="197" t="s">
        <v>190</v>
      </c>
      <c r="L21" s="196"/>
      <c r="M21" s="197" t="s">
        <v>198</v>
      </c>
      <c r="N21" s="196"/>
      <c r="O21" s="197" t="s">
        <v>199</v>
      </c>
      <c r="P21" s="196"/>
      <c r="Q21" s="197" t="s">
        <v>205</v>
      </c>
      <c r="R21" s="196"/>
      <c r="S21" s="197" t="s">
        <v>208</v>
      </c>
    </row>
    <row r="22" spans="1:19" s="188" customFormat="1" ht="6" customHeight="1" x14ac:dyDescent="0.25">
      <c r="A22" s="444"/>
      <c r="C22" s="198"/>
      <c r="D22" s="198"/>
      <c r="E22" s="199"/>
      <c r="F22" s="199"/>
      <c r="G22" s="199"/>
      <c r="H22" s="199"/>
      <c r="I22" s="196"/>
      <c r="K22" s="196"/>
      <c r="L22" s="196"/>
      <c r="M22" s="196"/>
      <c r="N22" s="196"/>
      <c r="O22" s="196"/>
      <c r="P22" s="196"/>
      <c r="Q22" s="196"/>
      <c r="R22" s="196"/>
      <c r="S22" s="196"/>
    </row>
    <row r="23" spans="1:19" s="188" customFormat="1" ht="25" customHeight="1" x14ac:dyDescent="0.25">
      <c r="A23" s="444"/>
      <c r="C23" s="445"/>
      <c r="D23" s="445"/>
      <c r="E23" s="228"/>
      <c r="F23" s="202"/>
      <c r="G23" s="203"/>
      <c r="H23" s="228"/>
      <c r="I23" s="196" t="s">
        <v>136</v>
      </c>
      <c r="K23" s="197" t="s">
        <v>200</v>
      </c>
      <c r="L23" s="196"/>
      <c r="M23" s="197" t="s">
        <v>201</v>
      </c>
      <c r="N23" s="196"/>
      <c r="O23" s="197" t="s">
        <v>204</v>
      </c>
      <c r="P23" s="196"/>
      <c r="Q23" s="197" t="s">
        <v>207</v>
      </c>
      <c r="R23" s="196"/>
      <c r="S23" s="197" t="s">
        <v>209</v>
      </c>
    </row>
    <row r="24" spans="1:19" s="180" customFormat="1" ht="6" customHeight="1" x14ac:dyDescent="0.35">
      <c r="C24" s="184"/>
      <c r="D24" s="184"/>
      <c r="E24" s="184"/>
      <c r="F24" s="184"/>
      <c r="G24" s="184"/>
      <c r="H24" s="184"/>
      <c r="I24" s="185"/>
      <c r="J24" s="186"/>
      <c r="K24" s="186"/>
      <c r="L24" s="186"/>
      <c r="M24" s="186"/>
      <c r="N24" s="186"/>
      <c r="O24" s="186"/>
      <c r="P24" s="186"/>
      <c r="Q24" s="186"/>
      <c r="R24" s="186"/>
      <c r="S24" s="186"/>
    </row>
    <row r="25" spans="1:19" s="204" customFormat="1" ht="6" customHeight="1" x14ac:dyDescent="0.35"/>
    <row r="26" spans="1:19" s="180" customFormat="1" ht="30" customHeight="1" x14ac:dyDescent="0.35">
      <c r="A26" s="179">
        <v>8</v>
      </c>
      <c r="C26" s="439" t="s">
        <v>194</v>
      </c>
      <c r="D26" s="439"/>
      <c r="E26" s="439"/>
      <c r="F26" s="439"/>
      <c r="G26" s="181" t="s">
        <v>128</v>
      </c>
      <c r="H26" s="226"/>
      <c r="I26" s="182" t="s">
        <v>138</v>
      </c>
      <c r="K26" s="183">
        <f>ROUND(IF($I$26="1/2-time",K27,K28),0)</f>
        <v>0</v>
      </c>
      <c r="M26" s="183">
        <f>ROUND(IF($I$26="1/2-time",M27,M28),0)</f>
        <v>0</v>
      </c>
      <c r="O26" s="183">
        <f>ROUND(IF($I$26="1/2-time",O27,O28),0)</f>
        <v>0</v>
      </c>
      <c r="Q26" s="183">
        <f>ROUND(IF($I$26="1/2-time",Q27,Q28),0)</f>
        <v>0</v>
      </c>
      <c r="S26" s="183">
        <f>ROUND(IF($I$26="1/2-time",S27,S28),0)</f>
        <v>0</v>
      </c>
    </row>
    <row r="27" spans="1:19" s="180" customFormat="1" ht="15" hidden="1" customHeight="1" x14ac:dyDescent="0.35">
      <c r="A27" s="180">
        <v>8</v>
      </c>
      <c r="C27" s="433" t="s">
        <v>130</v>
      </c>
      <c r="D27" s="433"/>
      <c r="E27" s="433"/>
      <c r="F27" s="433"/>
      <c r="G27" s="226"/>
      <c r="H27" s="226"/>
      <c r="I27" s="226" t="s">
        <v>131</v>
      </c>
      <c r="K27" s="183">
        <f>+C33*VLOOKUP(K33,$I$141:$Q$167,5,FALSE)+C35*VLOOKUP(K35,$I$141:$Q$167,5,FALSE)+C37*VLOOKUP(K37,$I$141:$Q$167,5,FALSE)+C39*VLOOKUP(K39,$I$141:$Q$167,9,FALSE)+C41*VLOOKUP(K41,$I$141:$Q$167,9,FALSE)+C43*VLOOKUP(K43,$I$141:$Q$167,9,FALSE)</f>
        <v>0</v>
      </c>
      <c r="L27" s="183"/>
      <c r="M27" s="183">
        <f>+E33*VLOOKUP(M33,$I$141:$Q$167,5,FALSE)+E35*VLOOKUP(M35,$I$141:$Q$167,5,FALSE)+E37*VLOOKUP(M37,$I$141:$Q$167,5,FALSE)+E39*VLOOKUP(M39,$I$141:$Q$167,9,FALSE)+E41*VLOOKUP(M41,$I$141:$Q$167,9,FALSE)+E43*VLOOKUP(M43,$I$141:$Q$167,9,FALSE)</f>
        <v>0</v>
      </c>
      <c r="N27" s="183"/>
      <c r="O27" s="183">
        <f>+F33*VLOOKUP(O33,$I$141:$Q$167,5,FALSE)+F35*VLOOKUP(O35,$I$141:$Q$167,5,FALSE)+F37*VLOOKUP(O37,$I$141:$Q$167,5,FALSE)+F39*VLOOKUP(O39,$I$141:$Q$167,9,FALSE)+F41*VLOOKUP(O41,$I$141:$Q$167,9,FALSE)+F43*VLOOKUP(O43,$I$141:$Q$167,9,FALSE)</f>
        <v>0</v>
      </c>
      <c r="P27" s="183"/>
      <c r="Q27" s="183">
        <f>+G33*VLOOKUP(Q33,$I$141:$Q$167,5,FALSE)+G35*VLOOKUP(Q35,$I$141:$Q$167,5,FALSE)+G37*VLOOKUP(Q37,$I$141:$Q$167,5,FALSE)+G39*VLOOKUP(Q39,$I$141:$Q$167,9,FALSE)+G41*VLOOKUP(Q41,$I$141:$Q$167,9,FALSE)+G43*VLOOKUP(Q43,$I$141:$Q$167,9,FALSE)</f>
        <v>0</v>
      </c>
      <c r="R27" s="183"/>
      <c r="S27" s="183">
        <f>+H33*VLOOKUP(S33,$I$141:$Q$167,5,FALSE)+H35*VLOOKUP(S35,$I$141:$Q$167,5,FALSE)+H37*VLOOKUP(S37,$I$141:$Q$167,5,FALSE)+H39*VLOOKUP(S39,$I$141:$Q$167,9,FALSE)+H41*VLOOKUP(S41,$I$141:$Q$167,9,FALSE)+H43*VLOOKUP(S43,$I$141:$Q$167,9,FALSE)</f>
        <v>0</v>
      </c>
    </row>
    <row r="28" spans="1:19" s="180" customFormat="1" ht="18" hidden="1" customHeight="1" x14ac:dyDescent="0.35">
      <c r="A28" s="180">
        <v>8</v>
      </c>
      <c r="C28" s="433" t="s">
        <v>130</v>
      </c>
      <c r="D28" s="433"/>
      <c r="E28" s="433"/>
      <c r="F28" s="433"/>
      <c r="G28" s="226"/>
      <c r="H28" s="226"/>
      <c r="I28" s="226" t="s">
        <v>132</v>
      </c>
      <c r="K28" s="183">
        <f>+C33*VLOOKUP(K33,$I$141:$Q$167,3,FALSE)+C35*VLOOKUP(K35,$I$141:$Q$167,3,FALSE)+C37*VLOOKUP(K37,$I$141:$Q$167,3,FALSE)+C39*VLOOKUP(K39,$I$141:$Q$167,7,FALSE)+C41*VLOOKUP(K41,$I$141:$Q$167,7,FALSE)+C43*VLOOKUP(K43,$I$141:$Q$167,7,FALSE)</f>
        <v>0</v>
      </c>
      <c r="M28" s="183">
        <f>+E33*VLOOKUP(M33,$I$141:$Q$167,3,FALSE)+E35*VLOOKUP(M35,$I$141:$Q$167,3,FALSE)+E37*VLOOKUP(M37,$I$141:$Q$167,3,FALSE)+E39*VLOOKUP(M39,$I$141:$Q$167,7,FALSE)+E41*VLOOKUP(M41,$I$141:$Q$167,7,FALSE)+E43*VLOOKUP(M43,$I$141:$Q$167,7,FALSE)</f>
        <v>0</v>
      </c>
      <c r="O28" s="183">
        <f>+F33*VLOOKUP(O33,$I$141:$Q$167,3,FALSE)+F35*VLOOKUP(O35,$I$141:$Q$167,3,FALSE)+F37*VLOOKUP(O37,$I$141:$Q$167,3,FALSE)+F39*VLOOKUP(O39,$I$141:$Q$167,7,FALSE)+F41*VLOOKUP(O41,$I$141:$Q$167,7,FALSE)+F43*VLOOKUP(O43,$I$141:$Q$167,7,FALSE)</f>
        <v>0</v>
      </c>
      <c r="Q28" s="183">
        <f>+G33*VLOOKUP(Q33,$I$141:$Q$167,3,FALSE)+G35*VLOOKUP(Q35,$I$141:$Q$167,3,FALSE)+G37*VLOOKUP(Q37,$I$141:$Q$167,3,FALSE)+G39*VLOOKUP(Q39,$I$141:$Q$167,7,FALSE)+G41*VLOOKUP(Q41,$I$141:$Q$167,7,FALSE)+G43*VLOOKUP(Q43,$I$141:$Q$167,7,FALSE)</f>
        <v>0</v>
      </c>
      <c r="S28" s="183">
        <f>+H33*VLOOKUP(S33,$I$141:$Q$167,3,FALSE)+H35*VLOOKUP(S35,$I$141:$Q$167,3,FALSE)+H37*VLOOKUP(S37,$I$141:$Q$167,3,FALSE)+H39*VLOOKUP(S39,$I$141:$Q$167,7,FALSE)+H41*VLOOKUP(S41,$I$141:$Q$167,7,FALSE)+H43*VLOOKUP(S43,$I$141:$Q$167,7,FALSE)</f>
        <v>0</v>
      </c>
    </row>
    <row r="29" spans="1:19" s="180" customFormat="1" ht="6" customHeight="1" x14ac:dyDescent="0.35">
      <c r="C29" s="184"/>
      <c r="D29" s="184"/>
      <c r="E29" s="184"/>
      <c r="F29" s="184"/>
      <c r="G29" s="184"/>
      <c r="H29" s="184"/>
      <c r="I29" s="185"/>
      <c r="J29" s="186"/>
      <c r="K29" s="186"/>
      <c r="L29" s="186"/>
      <c r="M29" s="186"/>
      <c r="N29" s="186"/>
      <c r="O29" s="186"/>
      <c r="P29" s="186"/>
      <c r="Q29" s="186"/>
      <c r="R29" s="186"/>
      <c r="S29" s="186"/>
    </row>
    <row r="30" spans="1:19" s="188" customFormat="1" ht="6" customHeight="1" x14ac:dyDescent="0.25">
      <c r="A30" s="187"/>
      <c r="C30" s="189"/>
      <c r="D30" s="189"/>
      <c r="E30" s="189"/>
      <c r="F30" s="190"/>
      <c r="G30" s="190"/>
      <c r="H30" s="189"/>
      <c r="I30" s="191"/>
      <c r="J30" s="192"/>
      <c r="K30" s="191"/>
      <c r="L30" s="191"/>
      <c r="M30" s="191"/>
      <c r="N30" s="191"/>
      <c r="O30" s="191"/>
      <c r="P30" s="191"/>
      <c r="Q30" s="191"/>
      <c r="R30" s="191"/>
      <c r="S30" s="191"/>
    </row>
    <row r="31" spans="1:19" s="188" customFormat="1" ht="25" customHeight="1" x14ac:dyDescent="0.35">
      <c r="A31" s="205"/>
      <c r="B31" s="192"/>
      <c r="C31" s="434" t="s">
        <v>195</v>
      </c>
      <c r="D31" s="435"/>
      <c r="E31" s="435"/>
      <c r="F31" s="435"/>
      <c r="G31" s="435"/>
      <c r="H31" s="436"/>
      <c r="I31" s="191"/>
      <c r="J31" s="192"/>
      <c r="K31" s="183"/>
      <c r="L31" s="191"/>
      <c r="M31" s="183"/>
      <c r="N31" s="204"/>
      <c r="O31" s="183"/>
      <c r="P31" s="204"/>
      <c r="Q31" s="183"/>
      <c r="R31" s="204"/>
      <c r="S31" s="183"/>
    </row>
    <row r="32" spans="1:19" s="188" customFormat="1" ht="12" customHeight="1" x14ac:dyDescent="0.25">
      <c r="A32" s="192"/>
      <c r="B32" s="192"/>
      <c r="C32" s="206" t="s">
        <v>0</v>
      </c>
      <c r="D32" s="206"/>
      <c r="E32" s="206" t="s">
        <v>3</v>
      </c>
      <c r="F32" s="206" t="s">
        <v>6</v>
      </c>
      <c r="G32" s="206" t="s">
        <v>9</v>
      </c>
      <c r="H32" s="206" t="s">
        <v>12</v>
      </c>
      <c r="I32" s="206"/>
      <c r="J32" s="207"/>
      <c r="K32" s="207"/>
      <c r="L32" s="207"/>
      <c r="M32" s="207"/>
      <c r="N32" s="207"/>
      <c r="O32" s="207"/>
      <c r="P32" s="207"/>
      <c r="Q32" s="207"/>
      <c r="R32" s="207"/>
      <c r="S32" s="207"/>
    </row>
    <row r="33" spans="1:19" s="188" customFormat="1" ht="25" customHeight="1" x14ac:dyDescent="0.25">
      <c r="A33" s="431" t="s">
        <v>133</v>
      </c>
      <c r="B33" s="192"/>
      <c r="C33" s="437"/>
      <c r="D33" s="438"/>
      <c r="E33" s="227"/>
      <c r="F33" s="227"/>
      <c r="G33" s="195"/>
      <c r="H33" s="227"/>
      <c r="I33" s="191" t="s">
        <v>134</v>
      </c>
      <c r="J33" s="192"/>
      <c r="K33" s="197" t="s">
        <v>191</v>
      </c>
      <c r="L33" s="196"/>
      <c r="M33" s="197" t="s">
        <v>202</v>
      </c>
      <c r="N33" s="196"/>
      <c r="O33" s="197" t="s">
        <v>203</v>
      </c>
      <c r="P33" s="196"/>
      <c r="Q33" s="197" t="s">
        <v>206</v>
      </c>
      <c r="R33" s="196"/>
      <c r="S33" s="197" t="s">
        <v>210</v>
      </c>
    </row>
    <row r="34" spans="1:19" s="188" customFormat="1" ht="6" customHeight="1" x14ac:dyDescent="0.25">
      <c r="A34" s="432"/>
      <c r="B34" s="192"/>
      <c r="C34" s="208"/>
      <c r="D34" s="208"/>
      <c r="E34" s="209"/>
      <c r="F34" s="209"/>
      <c r="G34" s="209"/>
      <c r="H34" s="209"/>
      <c r="I34" s="191"/>
      <c r="J34" s="192"/>
      <c r="K34" s="196"/>
      <c r="L34" s="196"/>
      <c r="M34" s="196"/>
      <c r="N34" s="196"/>
      <c r="O34" s="196"/>
      <c r="P34" s="196"/>
      <c r="Q34" s="196"/>
      <c r="R34" s="196"/>
      <c r="S34" s="196"/>
    </row>
    <row r="35" spans="1:19" s="188" customFormat="1" ht="25" customHeight="1" x14ac:dyDescent="0.25">
      <c r="A35" s="432"/>
      <c r="B35" s="192"/>
      <c r="C35" s="430"/>
      <c r="D35" s="430"/>
      <c r="E35" s="227"/>
      <c r="F35" s="200"/>
      <c r="G35" s="195"/>
      <c r="H35" s="227"/>
      <c r="I35" s="191" t="s">
        <v>135</v>
      </c>
      <c r="J35" s="192"/>
      <c r="K35" s="197" t="s">
        <v>190</v>
      </c>
      <c r="L35" s="196"/>
      <c r="M35" s="197" t="s">
        <v>198</v>
      </c>
      <c r="N35" s="196"/>
      <c r="O35" s="197" t="s">
        <v>199</v>
      </c>
      <c r="P35" s="196"/>
      <c r="Q35" s="197" t="s">
        <v>205</v>
      </c>
      <c r="R35" s="196"/>
      <c r="S35" s="197" t="s">
        <v>208</v>
      </c>
    </row>
    <row r="36" spans="1:19" s="188" customFormat="1" ht="6" customHeight="1" x14ac:dyDescent="0.25">
      <c r="A36" s="432"/>
      <c r="B36" s="192"/>
      <c r="C36" s="208"/>
      <c r="D36" s="208"/>
      <c r="E36" s="209"/>
      <c r="F36" s="209"/>
      <c r="G36" s="209"/>
      <c r="H36" s="209"/>
      <c r="I36" s="191"/>
      <c r="J36" s="192"/>
      <c r="K36" s="196"/>
      <c r="L36" s="196"/>
      <c r="M36" s="196"/>
      <c r="N36" s="196"/>
      <c r="O36" s="196"/>
      <c r="P36" s="196"/>
      <c r="Q36" s="196"/>
      <c r="R36" s="196"/>
      <c r="S36" s="196"/>
    </row>
    <row r="37" spans="1:19" s="188" customFormat="1" ht="25" customHeight="1" x14ac:dyDescent="0.25">
      <c r="A37" s="432"/>
      <c r="B37" s="192"/>
      <c r="C37" s="430"/>
      <c r="D37" s="430"/>
      <c r="E37" s="227"/>
      <c r="F37" s="200"/>
      <c r="G37" s="195"/>
      <c r="H37" s="227"/>
      <c r="I37" s="191" t="s">
        <v>136</v>
      </c>
      <c r="J37" s="192"/>
      <c r="K37" s="197" t="s">
        <v>200</v>
      </c>
      <c r="L37" s="196"/>
      <c r="M37" s="197" t="s">
        <v>201</v>
      </c>
      <c r="N37" s="196"/>
      <c r="O37" s="197" t="s">
        <v>204</v>
      </c>
      <c r="P37" s="196"/>
      <c r="Q37" s="197" t="s">
        <v>207</v>
      </c>
      <c r="R37" s="196"/>
      <c r="S37" s="197" t="s">
        <v>209</v>
      </c>
    </row>
    <row r="38" spans="1:19" s="188" customFormat="1" ht="12" customHeight="1" x14ac:dyDescent="0.25">
      <c r="A38" s="192"/>
      <c r="B38" s="192"/>
      <c r="C38" s="210" t="s">
        <v>0</v>
      </c>
      <c r="D38" s="210"/>
      <c r="E38" s="210" t="s">
        <v>3</v>
      </c>
      <c r="F38" s="210" t="s">
        <v>6</v>
      </c>
      <c r="G38" s="210" t="s">
        <v>9</v>
      </c>
      <c r="H38" s="210" t="s">
        <v>12</v>
      </c>
      <c r="I38" s="206"/>
      <c r="J38" s="207"/>
      <c r="K38" s="201"/>
      <c r="L38" s="201"/>
      <c r="M38" s="201"/>
      <c r="N38" s="201"/>
      <c r="O38" s="201"/>
      <c r="P38" s="201"/>
      <c r="Q38" s="201"/>
      <c r="R38" s="201"/>
      <c r="S38" s="201"/>
    </row>
    <row r="39" spans="1:19" s="188" customFormat="1" ht="25" customHeight="1" x14ac:dyDescent="0.25">
      <c r="A39" s="431" t="s">
        <v>137</v>
      </c>
      <c r="B39" s="192"/>
      <c r="C39" s="430"/>
      <c r="D39" s="430"/>
      <c r="E39" s="227"/>
      <c r="F39" s="227"/>
      <c r="G39" s="195"/>
      <c r="H39" s="227"/>
      <c r="I39" s="191" t="s">
        <v>134</v>
      </c>
      <c r="J39" s="192"/>
      <c r="K39" s="197" t="s">
        <v>191</v>
      </c>
      <c r="L39" s="196"/>
      <c r="M39" s="197" t="s">
        <v>202</v>
      </c>
      <c r="N39" s="196"/>
      <c r="O39" s="197" t="s">
        <v>203</v>
      </c>
      <c r="P39" s="196"/>
      <c r="Q39" s="197" t="s">
        <v>206</v>
      </c>
      <c r="R39" s="196"/>
      <c r="S39" s="197" t="s">
        <v>210</v>
      </c>
    </row>
    <row r="40" spans="1:19" s="188" customFormat="1" ht="6" customHeight="1" x14ac:dyDescent="0.25">
      <c r="A40" s="432"/>
      <c r="B40" s="192"/>
      <c r="C40" s="208"/>
      <c r="D40" s="208"/>
      <c r="E40" s="209"/>
      <c r="F40" s="209"/>
      <c r="G40" s="209"/>
      <c r="H40" s="209"/>
      <c r="I40" s="191"/>
      <c r="J40" s="192"/>
      <c r="K40" s="196"/>
      <c r="L40" s="196"/>
      <c r="M40" s="196"/>
      <c r="N40" s="196"/>
      <c r="O40" s="196"/>
      <c r="P40" s="196"/>
      <c r="Q40" s="196"/>
      <c r="R40" s="196"/>
      <c r="S40" s="196"/>
    </row>
    <row r="41" spans="1:19" s="188" customFormat="1" ht="25" customHeight="1" x14ac:dyDescent="0.25">
      <c r="A41" s="432"/>
      <c r="B41" s="192"/>
      <c r="C41" s="430"/>
      <c r="D41" s="430"/>
      <c r="E41" s="227"/>
      <c r="F41" s="200"/>
      <c r="G41" s="195"/>
      <c r="H41" s="227"/>
      <c r="I41" s="191" t="s">
        <v>135</v>
      </c>
      <c r="J41" s="192"/>
      <c r="K41" s="197" t="s">
        <v>190</v>
      </c>
      <c r="L41" s="196"/>
      <c r="M41" s="197" t="s">
        <v>198</v>
      </c>
      <c r="N41" s="196"/>
      <c r="O41" s="197" t="s">
        <v>199</v>
      </c>
      <c r="P41" s="196"/>
      <c r="Q41" s="197" t="s">
        <v>205</v>
      </c>
      <c r="R41" s="196"/>
      <c r="S41" s="197" t="s">
        <v>208</v>
      </c>
    </row>
    <row r="42" spans="1:19" s="188" customFormat="1" ht="6" customHeight="1" x14ac:dyDescent="0.25">
      <c r="A42" s="432"/>
      <c r="B42" s="192"/>
      <c r="C42" s="208"/>
      <c r="D42" s="208"/>
      <c r="E42" s="209"/>
      <c r="F42" s="209"/>
      <c r="G42" s="209"/>
      <c r="H42" s="209"/>
      <c r="I42" s="191"/>
      <c r="J42" s="192"/>
      <c r="K42" s="196"/>
      <c r="L42" s="196"/>
      <c r="M42" s="196"/>
      <c r="N42" s="196"/>
      <c r="O42" s="196"/>
      <c r="P42" s="196"/>
      <c r="Q42" s="196"/>
      <c r="R42" s="196"/>
      <c r="S42" s="196"/>
    </row>
    <row r="43" spans="1:19" s="188" customFormat="1" ht="25" customHeight="1" x14ac:dyDescent="0.25">
      <c r="A43" s="432"/>
      <c r="B43" s="192"/>
      <c r="C43" s="430"/>
      <c r="D43" s="430"/>
      <c r="E43" s="227"/>
      <c r="F43" s="200"/>
      <c r="G43" s="195"/>
      <c r="H43" s="227"/>
      <c r="I43" s="191" t="s">
        <v>136</v>
      </c>
      <c r="J43" s="192"/>
      <c r="K43" s="197" t="s">
        <v>200</v>
      </c>
      <c r="L43" s="196"/>
      <c r="M43" s="197" t="s">
        <v>201</v>
      </c>
      <c r="N43" s="196"/>
      <c r="O43" s="197" t="s">
        <v>204</v>
      </c>
      <c r="P43" s="196"/>
      <c r="Q43" s="197" t="s">
        <v>207</v>
      </c>
      <c r="R43" s="196"/>
      <c r="S43" s="197" t="s">
        <v>209</v>
      </c>
    </row>
    <row r="44" spans="1:19" s="180" customFormat="1" ht="6" customHeight="1" x14ac:dyDescent="0.35">
      <c r="C44" s="211"/>
      <c r="D44" s="211"/>
      <c r="E44" s="211"/>
      <c r="F44" s="211"/>
      <c r="G44" s="211"/>
      <c r="H44" s="211"/>
      <c r="I44" s="211"/>
      <c r="J44" s="212"/>
      <c r="K44" s="212"/>
      <c r="L44" s="212"/>
      <c r="M44" s="212"/>
      <c r="N44" s="212"/>
      <c r="O44" s="212"/>
      <c r="P44" s="212"/>
      <c r="Q44" s="212"/>
      <c r="R44" s="212"/>
      <c r="S44" s="212"/>
    </row>
    <row r="45" spans="1:19" s="204" customFormat="1" ht="6" customHeight="1" x14ac:dyDescent="0.35"/>
    <row r="46" spans="1:19" s="180" customFormat="1" ht="30" customHeight="1" x14ac:dyDescent="0.35">
      <c r="A46" s="179">
        <v>8</v>
      </c>
      <c r="C46" s="439" t="s">
        <v>196</v>
      </c>
      <c r="D46" s="439"/>
      <c r="E46" s="439"/>
      <c r="F46" s="439"/>
      <c r="G46" s="181" t="s">
        <v>128</v>
      </c>
      <c r="H46" s="226"/>
      <c r="I46" s="182" t="s">
        <v>138</v>
      </c>
      <c r="K46" s="183">
        <f>ROUND(IF($I$46="1/2-time",K47,K48),0)</f>
        <v>0</v>
      </c>
      <c r="M46" s="183">
        <f>ROUND(IF($I$46="1/2-time",M47,M48),0)</f>
        <v>0</v>
      </c>
      <c r="O46" s="183">
        <f>ROUND(IF($I$46="1/2-time",O47,O48),0)</f>
        <v>0</v>
      </c>
      <c r="Q46" s="183">
        <f>ROUND(IF($I$46="1/2-time",Q47,Q48),0)</f>
        <v>0</v>
      </c>
      <c r="S46" s="183">
        <f>ROUND(IF($I$46="1/2-time",S47,S48),0)</f>
        <v>0</v>
      </c>
    </row>
    <row r="47" spans="1:19" s="180" customFormat="1" ht="15" hidden="1" customHeight="1" x14ac:dyDescent="0.35">
      <c r="A47" s="180">
        <v>8</v>
      </c>
      <c r="C47" s="433" t="s">
        <v>130</v>
      </c>
      <c r="D47" s="433"/>
      <c r="E47" s="433"/>
      <c r="F47" s="433"/>
      <c r="G47" s="226"/>
      <c r="H47" s="226"/>
      <c r="I47" s="226" t="s">
        <v>131</v>
      </c>
      <c r="K47" s="183">
        <f>+C53*VLOOKUP(K53,$I$171:$Q$197,5,FALSE)+C55*VLOOKUP(K55,$I$171:$Q$197,5,FALSE)+C57*VLOOKUP(K57,$I$171:$Q$197,5,FALSE)+C59*VLOOKUP(K59,$I$171:$Q$197,9,FALSE)+C61*VLOOKUP(K61,$I$171:$Q$197,9,FALSE)+C63*VLOOKUP(K63,$I$171:$Q$197,9,FALSE)</f>
        <v>0</v>
      </c>
      <c r="L47" s="183"/>
      <c r="M47" s="183">
        <f>+E53*VLOOKUP(M53,$I$171:$Q$197,5,FALSE)+E55*VLOOKUP(M55,$I$171:$Q$197,5,FALSE)+E57*VLOOKUP(M57,$I$171:$Q$197,5,FALSE)+E59*VLOOKUP(M59,$I$171:$Q$197,9,FALSE)+E61*VLOOKUP(M61,$I$171:$Q$197,9,FALSE)+E63*VLOOKUP(M63,$I$171:$Q$197,9,FALSE)</f>
        <v>0</v>
      </c>
      <c r="N47" s="183"/>
      <c r="O47" s="183">
        <f>+F53*VLOOKUP(O53,$I$171:$Q$197,5,FALSE)+F55*VLOOKUP(O55,$I$171:$Q$197,5,FALSE)+F57*VLOOKUP(O57,$I$171:$Q$197,5,FALSE)+F59*VLOOKUP(O59,$I$171:$Q$197,9,FALSE)+F61*VLOOKUP(O61,$I$171:$Q$197,9,FALSE)+F63*VLOOKUP(O63,$I$171:$Q$197,9,FALSE)</f>
        <v>0</v>
      </c>
      <c r="P47" s="183"/>
      <c r="Q47" s="183">
        <f>+G53*VLOOKUP(Q53,$I$171:$Q$197,5,FALSE)+G55*VLOOKUP(Q55,$I$171:$Q$197,5,FALSE)+G57*VLOOKUP(Q57,$I$171:$Q$197,5,FALSE)+G59*VLOOKUP(Q59,$I$171:$Q$197,9,FALSE)+G61*VLOOKUP(Q61,$I$171:$Q$197,9,FALSE)+G63*VLOOKUP(Q63,$I$171:$Q$197,9,FALSE)</f>
        <v>0</v>
      </c>
      <c r="R47" s="183"/>
      <c r="S47" s="183">
        <f>+H53*VLOOKUP(S53,$I$171:$Q$197,5,FALSE)+H55*VLOOKUP(S55,$I$171:$Q$197,5,FALSE)+H57*VLOOKUP(S57,$I$171:$Q$197,5,FALSE)+H59*VLOOKUP(S59,$I$171:$Q$197,9,FALSE)+H61*VLOOKUP(S61,$I$171:$Q$197,9,FALSE)+H63*VLOOKUP(S63,$I$171:$Q$197,9,FALSE)</f>
        <v>0</v>
      </c>
    </row>
    <row r="48" spans="1:19" s="180" customFormat="1" ht="6" hidden="1" customHeight="1" x14ac:dyDescent="0.35">
      <c r="A48" s="180">
        <v>8</v>
      </c>
      <c r="C48" s="433" t="s">
        <v>130</v>
      </c>
      <c r="D48" s="433"/>
      <c r="E48" s="433"/>
      <c r="F48" s="433"/>
      <c r="G48" s="226"/>
      <c r="H48" s="226"/>
      <c r="I48" s="226" t="s">
        <v>132</v>
      </c>
      <c r="K48" s="183">
        <f>+C53*VLOOKUP(K53,$I$171:$Q$197,3,FALSE)+C55*VLOOKUP(K55,$I$171:$Q$197,3,FALSE)+C57*VLOOKUP(K57,$I$171:$Q$197,3,FALSE)+C59*VLOOKUP(K59,$I$171:$Q$197,7,FALSE)+C61*VLOOKUP(K61,$I$171:$Q$197,7,FALSE)+C63*VLOOKUP(K63,$I$171:$Q$197,7,FALSE)</f>
        <v>0</v>
      </c>
      <c r="M48" s="183">
        <f>+E53*VLOOKUP(M53,$I$171:$Q$197,3,FALSE)+E55*VLOOKUP(M55,$I$171:$Q$197,3,FALSE)+E57*VLOOKUP(M57,$I$171:$Q$197,3,FALSE)+E59*VLOOKUP(M59,$I$171:$Q$197,7,FALSE)+E61*VLOOKUP(M61,$I$171:$Q$197,7,FALSE)+E63*VLOOKUP(M63,$I$171:$Q$197,7,FALSE)</f>
        <v>0</v>
      </c>
      <c r="O48" s="183">
        <f>+F53*VLOOKUP(O53,$I$171:$Q$197,3,FALSE)+F55*VLOOKUP(O55,$I$171:$Q$197,3,FALSE)+F57*VLOOKUP(O57,$I$171:$Q$197,3,FALSE)+F59*VLOOKUP(O59,$I$171:$Q$197,7,FALSE)+F61*VLOOKUP(O61,$I$171:$Q$197,7,FALSE)+F63*VLOOKUP(O63,$I$171:$Q$197,7,FALSE)</f>
        <v>0</v>
      </c>
      <c r="Q48" s="183">
        <f>+G53*VLOOKUP(Q53,$I$171:$Q$197,3,FALSE)+G55*VLOOKUP(Q55,$I$171:$Q$197,3,FALSE)+G57*VLOOKUP(Q57,$I$171:$Q$197,3,FALSE)+G59*VLOOKUP(Q59,$I$171:$Q$197,7,FALSE)+G61*VLOOKUP(Q61,$I$171:$Q$197,7,FALSE)+G63*VLOOKUP(Q63,$I$171:$Q$197,7,FALSE)</f>
        <v>0</v>
      </c>
      <c r="S48" s="183">
        <f>+H53*VLOOKUP(S53,$I$171:$Q$197,3,FALSE)+H55*VLOOKUP(S55,$I$171:$Q$197,3,FALSE)+H57*VLOOKUP(S57,$I$171:$Q$197,3,FALSE)+H59*VLOOKUP(S59,$I$171:$Q$197,7,FALSE)+H61*VLOOKUP(S61,$I$171:$Q$197,7,FALSE)+H63*VLOOKUP(S63,$I$171:$Q$197,7,FALSE)</f>
        <v>0</v>
      </c>
    </row>
    <row r="49" spans="1:19" s="180" customFormat="1" ht="6" customHeight="1" x14ac:dyDescent="0.35">
      <c r="C49" s="184"/>
      <c r="D49" s="184"/>
      <c r="E49" s="184"/>
      <c r="F49" s="184"/>
      <c r="G49" s="184"/>
      <c r="H49" s="184"/>
      <c r="I49" s="185"/>
      <c r="J49" s="186"/>
      <c r="K49" s="186"/>
      <c r="L49" s="186"/>
      <c r="M49" s="186"/>
      <c r="N49" s="186"/>
      <c r="O49" s="186"/>
      <c r="P49" s="186"/>
      <c r="Q49" s="186"/>
      <c r="R49" s="186"/>
      <c r="S49" s="186"/>
    </row>
    <row r="50" spans="1:19" s="188" customFormat="1" ht="6" customHeight="1" x14ac:dyDescent="0.25">
      <c r="A50" s="187"/>
      <c r="C50" s="189"/>
      <c r="D50" s="189"/>
      <c r="E50" s="189"/>
      <c r="F50" s="190"/>
      <c r="G50" s="190"/>
      <c r="H50" s="189"/>
      <c r="I50" s="191"/>
      <c r="J50" s="192"/>
      <c r="K50" s="191"/>
      <c r="L50" s="191"/>
      <c r="M50" s="191"/>
      <c r="N50" s="191"/>
      <c r="O50" s="191"/>
      <c r="P50" s="191"/>
      <c r="Q50" s="191"/>
      <c r="R50" s="191"/>
      <c r="S50" s="191"/>
    </row>
    <row r="51" spans="1:19" s="188" customFormat="1" ht="25" customHeight="1" x14ac:dyDescent="0.35">
      <c r="A51" s="205"/>
      <c r="B51" s="192"/>
      <c r="C51" s="434" t="s">
        <v>197</v>
      </c>
      <c r="D51" s="435"/>
      <c r="E51" s="435"/>
      <c r="F51" s="435"/>
      <c r="G51" s="435"/>
      <c r="H51" s="436"/>
      <c r="I51" s="191"/>
      <c r="J51" s="192"/>
      <c r="K51" s="183"/>
      <c r="L51" s="191"/>
      <c r="M51" s="183"/>
      <c r="N51" s="204"/>
      <c r="O51" s="183"/>
      <c r="P51" s="204"/>
      <c r="Q51" s="183"/>
      <c r="R51" s="204"/>
      <c r="S51" s="183"/>
    </row>
    <row r="52" spans="1:19" s="188" customFormat="1" ht="12" customHeight="1" x14ac:dyDescent="0.25">
      <c r="A52" s="192"/>
      <c r="B52" s="192"/>
      <c r="C52" s="206" t="s">
        <v>0</v>
      </c>
      <c r="D52" s="206"/>
      <c r="E52" s="206" t="s">
        <v>3</v>
      </c>
      <c r="F52" s="206" t="s">
        <v>6</v>
      </c>
      <c r="G52" s="206" t="s">
        <v>9</v>
      </c>
      <c r="H52" s="206" t="s">
        <v>12</v>
      </c>
      <c r="I52" s="206"/>
      <c r="J52" s="207"/>
      <c r="K52" s="207"/>
      <c r="L52" s="207"/>
      <c r="M52" s="207"/>
      <c r="N52" s="207"/>
      <c r="O52" s="207"/>
      <c r="P52" s="207"/>
      <c r="Q52" s="207"/>
      <c r="R52" s="207"/>
      <c r="S52" s="207"/>
    </row>
    <row r="53" spans="1:19" s="188" customFormat="1" ht="25" customHeight="1" x14ac:dyDescent="0.25">
      <c r="A53" s="431" t="s">
        <v>133</v>
      </c>
      <c r="B53" s="192"/>
      <c r="C53" s="437"/>
      <c r="D53" s="438"/>
      <c r="E53" s="227"/>
      <c r="F53" s="227"/>
      <c r="G53" s="195"/>
      <c r="H53" s="227"/>
      <c r="I53" s="191" t="s">
        <v>134</v>
      </c>
      <c r="J53" s="192"/>
      <c r="K53" s="197" t="s">
        <v>191</v>
      </c>
      <c r="L53" s="196"/>
      <c r="M53" s="197" t="s">
        <v>202</v>
      </c>
      <c r="N53" s="196"/>
      <c r="O53" s="197" t="s">
        <v>203</v>
      </c>
      <c r="P53" s="196"/>
      <c r="Q53" s="197" t="s">
        <v>206</v>
      </c>
      <c r="R53" s="196"/>
      <c r="S53" s="197" t="s">
        <v>210</v>
      </c>
    </row>
    <row r="54" spans="1:19" s="188" customFormat="1" ht="6" customHeight="1" x14ac:dyDescent="0.25">
      <c r="A54" s="432"/>
      <c r="B54" s="192"/>
      <c r="C54" s="208"/>
      <c r="D54" s="208"/>
      <c r="E54" s="209"/>
      <c r="F54" s="209"/>
      <c r="G54" s="209"/>
      <c r="H54" s="209"/>
      <c r="I54" s="191"/>
      <c r="J54" s="192"/>
      <c r="K54" s="196"/>
      <c r="L54" s="196"/>
      <c r="M54" s="196"/>
      <c r="N54" s="196"/>
      <c r="O54" s="196"/>
      <c r="P54" s="196"/>
      <c r="Q54" s="196"/>
      <c r="R54" s="196"/>
      <c r="S54" s="196"/>
    </row>
    <row r="55" spans="1:19" s="188" customFormat="1" ht="25" customHeight="1" x14ac:dyDescent="0.25">
      <c r="A55" s="432"/>
      <c r="B55" s="192"/>
      <c r="C55" s="430"/>
      <c r="D55" s="430"/>
      <c r="E55" s="227"/>
      <c r="F55" s="200"/>
      <c r="G55" s="195"/>
      <c r="H55" s="227"/>
      <c r="I55" s="191" t="s">
        <v>135</v>
      </c>
      <c r="J55" s="192"/>
      <c r="K55" s="197" t="s">
        <v>190</v>
      </c>
      <c r="L55" s="196"/>
      <c r="M55" s="197" t="s">
        <v>198</v>
      </c>
      <c r="N55" s="196"/>
      <c r="O55" s="197" t="s">
        <v>199</v>
      </c>
      <c r="P55" s="196"/>
      <c r="Q55" s="197" t="s">
        <v>205</v>
      </c>
      <c r="R55" s="196"/>
      <c r="S55" s="197" t="s">
        <v>208</v>
      </c>
    </row>
    <row r="56" spans="1:19" s="188" customFormat="1" ht="6" customHeight="1" x14ac:dyDescent="0.25">
      <c r="A56" s="432"/>
      <c r="B56" s="192"/>
      <c r="C56" s="208"/>
      <c r="D56" s="208"/>
      <c r="E56" s="209"/>
      <c r="F56" s="209"/>
      <c r="G56" s="209"/>
      <c r="H56" s="209"/>
      <c r="I56" s="191"/>
      <c r="J56" s="192"/>
      <c r="K56" s="196"/>
      <c r="L56" s="196"/>
      <c r="M56" s="196"/>
      <c r="N56" s="196"/>
      <c r="O56" s="196"/>
      <c r="P56" s="196"/>
      <c r="Q56" s="196"/>
      <c r="R56" s="196"/>
      <c r="S56" s="196"/>
    </row>
    <row r="57" spans="1:19" s="188" customFormat="1" ht="25" customHeight="1" x14ac:dyDescent="0.25">
      <c r="A57" s="432"/>
      <c r="B57" s="192"/>
      <c r="C57" s="430"/>
      <c r="D57" s="430"/>
      <c r="E57" s="227"/>
      <c r="F57" s="200"/>
      <c r="G57" s="195"/>
      <c r="H57" s="227"/>
      <c r="I57" s="191" t="s">
        <v>136</v>
      </c>
      <c r="J57" s="192"/>
      <c r="K57" s="197" t="s">
        <v>200</v>
      </c>
      <c r="L57" s="196"/>
      <c r="M57" s="197" t="s">
        <v>201</v>
      </c>
      <c r="N57" s="196"/>
      <c r="O57" s="197" t="s">
        <v>204</v>
      </c>
      <c r="P57" s="196"/>
      <c r="Q57" s="197" t="s">
        <v>207</v>
      </c>
      <c r="R57" s="196"/>
      <c r="S57" s="197" t="s">
        <v>209</v>
      </c>
    </row>
    <row r="58" spans="1:19" s="188" customFormat="1" ht="12" customHeight="1" x14ac:dyDescent="0.25">
      <c r="A58" s="192"/>
      <c r="B58" s="192"/>
      <c r="C58" s="210" t="s">
        <v>0</v>
      </c>
      <c r="D58" s="210"/>
      <c r="E58" s="210" t="s">
        <v>3</v>
      </c>
      <c r="F58" s="210" t="s">
        <v>6</v>
      </c>
      <c r="G58" s="210" t="s">
        <v>9</v>
      </c>
      <c r="H58" s="210" t="s">
        <v>12</v>
      </c>
      <c r="I58" s="206"/>
      <c r="J58" s="207"/>
      <c r="K58" s="201"/>
      <c r="L58" s="201"/>
      <c r="M58" s="201"/>
      <c r="N58" s="201"/>
      <c r="O58" s="201"/>
      <c r="P58" s="201"/>
      <c r="Q58" s="201"/>
      <c r="R58" s="201"/>
      <c r="S58" s="201"/>
    </row>
    <row r="59" spans="1:19" s="188" customFormat="1" ht="25" customHeight="1" x14ac:dyDescent="0.25">
      <c r="A59" s="431" t="s">
        <v>137</v>
      </c>
      <c r="B59" s="192"/>
      <c r="C59" s="430"/>
      <c r="D59" s="430"/>
      <c r="E59" s="227"/>
      <c r="F59" s="227"/>
      <c r="G59" s="195"/>
      <c r="H59" s="227"/>
      <c r="I59" s="191" t="s">
        <v>134</v>
      </c>
      <c r="J59" s="192"/>
      <c r="K59" s="197" t="s">
        <v>191</v>
      </c>
      <c r="L59" s="196"/>
      <c r="M59" s="197" t="s">
        <v>202</v>
      </c>
      <c r="N59" s="196"/>
      <c r="O59" s="197" t="s">
        <v>203</v>
      </c>
      <c r="P59" s="196"/>
      <c r="Q59" s="197" t="s">
        <v>206</v>
      </c>
      <c r="R59" s="196"/>
      <c r="S59" s="197" t="s">
        <v>210</v>
      </c>
    </row>
    <row r="60" spans="1:19" s="188" customFormat="1" ht="6" customHeight="1" x14ac:dyDescent="0.25">
      <c r="A60" s="432"/>
      <c r="B60" s="192"/>
      <c r="C60" s="208"/>
      <c r="D60" s="208"/>
      <c r="E60" s="209"/>
      <c r="F60" s="209"/>
      <c r="G60" s="209"/>
      <c r="H60" s="209"/>
      <c r="I60" s="191"/>
      <c r="J60" s="192"/>
      <c r="K60" s="196"/>
      <c r="L60" s="196"/>
      <c r="M60" s="196"/>
      <c r="N60" s="196"/>
      <c r="O60" s="196"/>
      <c r="P60" s="196"/>
      <c r="Q60" s="196"/>
      <c r="R60" s="196"/>
      <c r="S60" s="196"/>
    </row>
    <row r="61" spans="1:19" s="188" customFormat="1" ht="25" customHeight="1" x14ac:dyDescent="0.25">
      <c r="A61" s="432"/>
      <c r="B61" s="192"/>
      <c r="C61" s="430"/>
      <c r="D61" s="430"/>
      <c r="E61" s="227"/>
      <c r="F61" s="200"/>
      <c r="G61" s="195"/>
      <c r="H61" s="227"/>
      <c r="I61" s="191" t="s">
        <v>135</v>
      </c>
      <c r="J61" s="192"/>
      <c r="K61" s="197" t="s">
        <v>190</v>
      </c>
      <c r="L61" s="196"/>
      <c r="M61" s="197" t="s">
        <v>198</v>
      </c>
      <c r="N61" s="196"/>
      <c r="O61" s="197" t="s">
        <v>199</v>
      </c>
      <c r="P61" s="196"/>
      <c r="Q61" s="197" t="s">
        <v>205</v>
      </c>
      <c r="R61" s="196"/>
      <c r="S61" s="197" t="s">
        <v>208</v>
      </c>
    </row>
    <row r="62" spans="1:19" s="188" customFormat="1" ht="6" customHeight="1" x14ac:dyDescent="0.25">
      <c r="A62" s="432"/>
      <c r="B62" s="192"/>
      <c r="C62" s="208"/>
      <c r="D62" s="208"/>
      <c r="E62" s="209"/>
      <c r="F62" s="209"/>
      <c r="G62" s="209"/>
      <c r="H62" s="209"/>
      <c r="I62" s="191"/>
      <c r="J62" s="192"/>
      <c r="K62" s="196"/>
      <c r="L62" s="196"/>
      <c r="M62" s="196"/>
      <c r="N62" s="196"/>
      <c r="O62" s="196"/>
      <c r="P62" s="196"/>
      <c r="Q62" s="196"/>
      <c r="R62" s="196"/>
      <c r="S62" s="196"/>
    </row>
    <row r="63" spans="1:19" s="188" customFormat="1" ht="25" customHeight="1" x14ac:dyDescent="0.25">
      <c r="A63" s="432"/>
      <c r="B63" s="192"/>
      <c r="C63" s="430"/>
      <c r="D63" s="430"/>
      <c r="E63" s="227"/>
      <c r="F63" s="200"/>
      <c r="G63" s="195"/>
      <c r="H63" s="227"/>
      <c r="I63" s="191" t="s">
        <v>136</v>
      </c>
      <c r="J63" s="192"/>
      <c r="K63" s="197" t="s">
        <v>200</v>
      </c>
      <c r="L63" s="196"/>
      <c r="M63" s="197" t="s">
        <v>201</v>
      </c>
      <c r="N63" s="196"/>
      <c r="O63" s="197" t="s">
        <v>204</v>
      </c>
      <c r="P63" s="196"/>
      <c r="Q63" s="197" t="s">
        <v>207</v>
      </c>
      <c r="R63" s="196"/>
      <c r="S63" s="197" t="s">
        <v>209</v>
      </c>
    </row>
    <row r="64" spans="1:19" s="180" customFormat="1" ht="6" customHeight="1" x14ac:dyDescent="0.35">
      <c r="C64" s="211"/>
      <c r="D64" s="211"/>
      <c r="E64" s="211"/>
      <c r="F64" s="211"/>
      <c r="G64" s="211"/>
      <c r="H64" s="211"/>
      <c r="I64" s="211"/>
      <c r="J64" s="212"/>
      <c r="K64" s="212"/>
      <c r="L64" s="212"/>
      <c r="M64" s="212"/>
      <c r="N64" s="212"/>
      <c r="O64" s="212"/>
      <c r="P64" s="212"/>
      <c r="Q64" s="212"/>
      <c r="R64" s="212"/>
      <c r="S64" s="212"/>
    </row>
    <row r="65" spans="1:19" s="213" customFormat="1" ht="6" customHeight="1" x14ac:dyDescent="0.35">
      <c r="A65" s="180"/>
      <c r="B65" s="180"/>
      <c r="C65" s="180"/>
      <c r="D65" s="180"/>
      <c r="E65" s="180"/>
      <c r="F65" s="180"/>
      <c r="G65" s="180"/>
      <c r="H65" s="180"/>
      <c r="I65" s="180"/>
      <c r="J65" s="180"/>
      <c r="K65" s="183"/>
      <c r="L65" s="180"/>
      <c r="M65" s="183"/>
      <c r="N65" s="180"/>
      <c r="O65" s="183"/>
      <c r="P65" s="180"/>
      <c r="Q65" s="183"/>
      <c r="R65" s="180"/>
      <c r="S65" s="183"/>
    </row>
    <row r="66" spans="1:19" s="213" customFormat="1" ht="6" customHeight="1" x14ac:dyDescent="0.35">
      <c r="A66" s="180"/>
      <c r="B66" s="180"/>
      <c r="C66" s="180"/>
      <c r="D66" s="180"/>
      <c r="E66" s="180"/>
      <c r="F66" s="180"/>
      <c r="G66" s="180"/>
      <c r="H66" s="180"/>
      <c r="I66" s="180"/>
      <c r="J66" s="180"/>
      <c r="K66" s="183"/>
      <c r="L66" s="180"/>
      <c r="M66" s="183"/>
      <c r="N66" s="180"/>
      <c r="O66" s="183"/>
      <c r="P66" s="180"/>
      <c r="Q66" s="183"/>
      <c r="R66" s="180"/>
      <c r="S66" s="183"/>
    </row>
    <row r="67" spans="1:19" s="180" customFormat="1" ht="45" customHeight="1" x14ac:dyDescent="0.35">
      <c r="A67" s="179">
        <v>8</v>
      </c>
      <c r="C67" s="439" t="s">
        <v>214</v>
      </c>
      <c r="D67" s="439"/>
      <c r="E67" s="439"/>
      <c r="F67" s="439"/>
      <c r="G67" s="181" t="s">
        <v>128</v>
      </c>
      <c r="H67" s="241"/>
      <c r="I67" s="182" t="s">
        <v>138</v>
      </c>
      <c r="K67" s="183">
        <f>ROUND(IF($I67="1/2-time",K68,K69),0)</f>
        <v>15946</v>
      </c>
      <c r="M67" s="183">
        <f>ROUND(IF($I$67="1/2-time",M68,M69),0)</f>
        <v>16584</v>
      </c>
      <c r="O67" s="183">
        <f>ROUND(IF($I$67="1/2-time",O68,O69),0)</f>
        <v>34495</v>
      </c>
      <c r="Q67" s="183">
        <f>ROUND(IF($I$67="1/2-time",Q68,Q69),0)</f>
        <v>35875</v>
      </c>
      <c r="S67" s="183">
        <f>ROUND(IF($I$67="1/2-time",S68,S69),0)</f>
        <v>0</v>
      </c>
    </row>
    <row r="68" spans="1:19" s="180" customFormat="1" ht="3" customHeight="1" x14ac:dyDescent="0.35">
      <c r="A68" s="180">
        <v>8</v>
      </c>
      <c r="C68" s="433" t="s">
        <v>130</v>
      </c>
      <c r="D68" s="433"/>
      <c r="E68" s="433"/>
      <c r="F68" s="433"/>
      <c r="G68" s="241"/>
      <c r="H68" s="241"/>
      <c r="I68" s="241" t="s">
        <v>131</v>
      </c>
      <c r="K68" s="183">
        <f>+C74*VLOOKUP(K74,$I$200:$Q$226,5,FALSE)+C76*VLOOKUP(K76,$I$200:$Q$226,5,FALSE)+C78*VLOOKUP(K78,$I$200:$Q$226,5,FALSE)+C80*VLOOKUP(K80,$I$200:$Q$226,9,FALSE)+C82*VLOOKUP(K82,$I$200:$Q$226,9,FALSE)+C84*VLOOKUP(K84,$I$200:$Q$226,9,FALSE)</f>
        <v>15946.245120000003</v>
      </c>
      <c r="L68" s="183"/>
      <c r="M68" s="183">
        <f>+E74*VLOOKUP(M74,$I$200:$Q$226,5,FALSE)+E76*VLOOKUP(M76,$I$200:$Q$226,5,FALSE)+E78*VLOOKUP(M78,$I$200:$Q$226,5,FALSE)+E80*VLOOKUP(M80,$I$200:$Q$226,9,FALSE)+E82*VLOOKUP(M82,$I$200:$Q$226,9,FALSE)+E84*VLOOKUP(M84,$I$200:$Q$226,9,FALSE)</f>
        <v>16584.094924800003</v>
      </c>
      <c r="N68" s="183"/>
      <c r="O68" s="183">
        <f>+F74*VLOOKUP(O74,$I$200:$Q$226,5,FALSE)+F76*VLOOKUP(O76,$I$200:$Q$226,5,FALSE)+F78*VLOOKUP(O78,$I$200:$Q$226,5,FALSE)+F80*VLOOKUP(O80,$I$200:$Q$226,9,FALSE)+F82*VLOOKUP(O82,$I$200:$Q$226,9,FALSE)+F84*VLOOKUP(O84,$I$200:$Q$226,9,FALSE)</f>
        <v>34494.91744358401</v>
      </c>
      <c r="P68" s="183"/>
      <c r="Q68" s="183">
        <f>+G74*VLOOKUP(Q74,$I$200:$Q$226,5,FALSE)+G76*VLOOKUP(Q76,$I$200:$Q$226,5,FALSE)+G78*VLOOKUP(Q78,$I$200:$Q$226,5,FALSE)+G80*VLOOKUP(Q80,$I$200:$Q$226,9,FALSE)+G82*VLOOKUP(Q82,$I$200:$Q$226,9,FALSE)+G84*VLOOKUP(Q84,$I$200:$Q$226,9,FALSE)</f>
        <v>35874.714141327364</v>
      </c>
      <c r="R68" s="183"/>
      <c r="S68" s="183">
        <f>+H74*VLOOKUP(S74,$I$200:$Q$226,5,FALSE)+H76*VLOOKUP(S76,$I$200:$Q$226,5,FALSE)+H78*VLOOKUP(S78,$I$200:$Q$226,5,FALSE)+H80*VLOOKUP(S80,$I$200:$Q$226,9,FALSE)+H82*VLOOKUP(S82,$I$200:$Q$226,9,FALSE)+H84*VLOOKUP(S84,$I$200:$Q$226,9,FALSE)</f>
        <v>0</v>
      </c>
    </row>
    <row r="69" spans="1:19" s="180" customFormat="1" ht="1.5" customHeight="1" x14ac:dyDescent="0.35">
      <c r="A69" s="180">
        <v>8</v>
      </c>
      <c r="C69" s="433" t="s">
        <v>130</v>
      </c>
      <c r="D69" s="433"/>
      <c r="E69" s="433"/>
      <c r="F69" s="433"/>
      <c r="G69" s="241"/>
      <c r="H69" s="241"/>
      <c r="I69" s="241" t="s">
        <v>132</v>
      </c>
      <c r="K69" s="183">
        <f>+C74*VLOOKUP(K74,$I$200:$Q$226,3,FALSE)+C76*VLOOKUP(K76,$I$200:$Q$226,3,FALSE)+C78*VLOOKUP(K78,$I$200:$Q$226,3,FALSE)+C80*VLOOKUP(K80,$I$200:$Q$226,7,FALSE)+C82*VLOOKUP(K82,$I$200:$Q$226,7,FALSE)+C84*VLOOKUP(K84,$I$200:$Q$226,7,FALSE)</f>
        <v>7973.1225600000016</v>
      </c>
      <c r="M69" s="183">
        <f>+E74*VLOOKUP(M74,$I$200:$Q$226,3,FALSE)+E76*VLOOKUP(M76,$I$200:$Q$226,3,FALSE)+E78*VLOOKUP(M78,$I$200:$Q$226,3,FALSE)+E80*VLOOKUP(M80,$I$200:$Q$226,7,FALSE)+E82*VLOOKUP(M82,$I$200:$Q$226,7,FALSE)+E84*VLOOKUP(M84,$I$200:$Q$226,7,FALSE)</f>
        <v>8292.0474624000017</v>
      </c>
      <c r="O69" s="183">
        <f>+F74*VLOOKUP(O74,$I$200:$Q$226,3,FALSE)+F76*VLOOKUP(O76,$I$200:$Q$226,3,FALSE)+F78*VLOOKUP(O78,$I$200:$Q$226,3,FALSE)+F80*VLOOKUP(O80,$I$200:$Q$226,7,FALSE)+F82*VLOOKUP(O82,$I$200:$Q$226,7,FALSE)+F84*VLOOKUP(O84,$I$200:$Q$226,7,FALSE)</f>
        <v>17247.458721792005</v>
      </c>
      <c r="Q69" s="183">
        <f>+G74*VLOOKUP(Q74,$I$200:$Q$226,3,FALSE)+G76*VLOOKUP(Q76,$I$200:$Q$226,3,FALSE)+G78*VLOOKUP(Q78,$I$200:$Q$226,3,FALSE)+G80*VLOOKUP(Q80,$I$200:$Q$226,7,FALSE)+G82*VLOOKUP(Q82,$I$200:$Q$226,7,FALSE)+G84*VLOOKUP(Q84,$I$200:$Q$226,7,FALSE)</f>
        <v>17937.357070663682</v>
      </c>
      <c r="S69" s="183">
        <f>+H74*VLOOKUP(S74,$I$200:$Q$226,3,FALSE)+H76*VLOOKUP(S76,$I$200:$Q$226,3,FALSE)+H78*VLOOKUP(S78,$I$200:$Q$226,3,FALSE)+H80*VLOOKUP(S80,$I$200:$Q$226,7,FALSE)+H82*VLOOKUP(S82,$I$200:$Q$226,7,FALSE)+H84*VLOOKUP(S84,$I$200:$Q$226,7,FALSE)</f>
        <v>0</v>
      </c>
    </row>
    <row r="70" spans="1:19" s="180" customFormat="1" ht="6" customHeight="1" x14ac:dyDescent="0.35">
      <c r="C70" s="184"/>
      <c r="D70" s="184"/>
      <c r="E70" s="184"/>
      <c r="F70" s="184"/>
      <c r="G70" s="184"/>
      <c r="H70" s="184"/>
      <c r="I70" s="185"/>
      <c r="J70" s="186"/>
      <c r="K70" s="186"/>
      <c r="L70" s="186"/>
      <c r="M70" s="186"/>
      <c r="N70" s="186"/>
      <c r="O70" s="186"/>
      <c r="P70" s="186"/>
      <c r="Q70" s="186"/>
      <c r="R70" s="186"/>
      <c r="S70" s="186"/>
    </row>
    <row r="71" spans="1:19" s="188" customFormat="1" ht="6" customHeight="1" x14ac:dyDescent="0.25">
      <c r="A71" s="187"/>
      <c r="C71" s="189"/>
      <c r="D71" s="189"/>
      <c r="E71" s="189"/>
      <c r="F71" s="190"/>
      <c r="G71" s="190"/>
      <c r="H71" s="189"/>
      <c r="I71" s="191"/>
      <c r="J71" s="192"/>
      <c r="K71" s="191"/>
      <c r="L71" s="191"/>
      <c r="M71" s="191"/>
      <c r="N71" s="191"/>
      <c r="O71" s="191"/>
      <c r="P71" s="191"/>
      <c r="Q71" s="191"/>
      <c r="R71" s="191"/>
      <c r="S71" s="191"/>
    </row>
    <row r="72" spans="1:19" s="188" customFormat="1" ht="25" customHeight="1" x14ac:dyDescent="0.35">
      <c r="A72" s="205"/>
      <c r="B72" s="192"/>
      <c r="C72" s="434" t="s">
        <v>213</v>
      </c>
      <c r="D72" s="435"/>
      <c r="E72" s="435"/>
      <c r="F72" s="435"/>
      <c r="G72" s="435"/>
      <c r="H72" s="436"/>
      <c r="I72" s="191"/>
      <c r="J72" s="192"/>
      <c r="K72" s="183"/>
      <c r="L72" s="191"/>
      <c r="M72" s="183"/>
      <c r="N72" s="204"/>
      <c r="O72" s="183"/>
      <c r="P72" s="204"/>
      <c r="Q72" s="183"/>
      <c r="R72" s="204"/>
      <c r="S72" s="183"/>
    </row>
    <row r="73" spans="1:19" s="188" customFormat="1" ht="12" customHeight="1" x14ac:dyDescent="0.25">
      <c r="A73" s="192"/>
      <c r="B73" s="192"/>
      <c r="C73" s="206" t="s">
        <v>0</v>
      </c>
      <c r="D73" s="206"/>
      <c r="E73" s="206" t="s">
        <v>3</v>
      </c>
      <c r="F73" s="206" t="s">
        <v>6</v>
      </c>
      <c r="G73" s="206" t="s">
        <v>9</v>
      </c>
      <c r="H73" s="206" t="s">
        <v>12</v>
      </c>
      <c r="I73" s="206"/>
      <c r="J73" s="207"/>
      <c r="K73" s="207"/>
      <c r="L73" s="207"/>
      <c r="M73" s="207"/>
      <c r="N73" s="207"/>
      <c r="O73" s="207"/>
      <c r="P73" s="207"/>
      <c r="Q73" s="207"/>
      <c r="R73" s="207"/>
      <c r="S73" s="207"/>
    </row>
    <row r="74" spans="1:19" s="188" customFormat="1" ht="25" customHeight="1" x14ac:dyDescent="0.25">
      <c r="A74" s="431" t="s">
        <v>133</v>
      </c>
      <c r="B74" s="192"/>
      <c r="C74" s="437"/>
      <c r="D74" s="438"/>
      <c r="E74" s="242"/>
      <c r="F74" s="242"/>
      <c r="G74" s="195"/>
      <c r="H74" s="242"/>
      <c r="I74" s="191" t="s">
        <v>134</v>
      </c>
      <c r="J74" s="192"/>
      <c r="K74" s="197" t="s">
        <v>191</v>
      </c>
      <c r="L74" s="196"/>
      <c r="M74" s="197" t="s">
        <v>202</v>
      </c>
      <c r="N74" s="196"/>
      <c r="O74" s="197" t="s">
        <v>203</v>
      </c>
      <c r="P74" s="196"/>
      <c r="Q74" s="197" t="s">
        <v>206</v>
      </c>
      <c r="R74" s="196"/>
      <c r="S74" s="197" t="s">
        <v>210</v>
      </c>
    </row>
    <row r="75" spans="1:19" s="188" customFormat="1" ht="6" customHeight="1" x14ac:dyDescent="0.25">
      <c r="A75" s="432"/>
      <c r="B75" s="192"/>
      <c r="C75" s="208"/>
      <c r="D75" s="208"/>
      <c r="E75" s="209"/>
      <c r="F75" s="209"/>
      <c r="G75" s="209"/>
      <c r="H75" s="209"/>
      <c r="I75" s="191"/>
      <c r="J75" s="192"/>
      <c r="K75" s="196"/>
      <c r="L75" s="196"/>
      <c r="M75" s="196"/>
      <c r="N75" s="196"/>
      <c r="O75" s="196"/>
      <c r="P75" s="196"/>
      <c r="Q75" s="196"/>
      <c r="R75" s="196"/>
      <c r="S75" s="196"/>
    </row>
    <row r="76" spans="1:19" s="188" customFormat="1" ht="25" customHeight="1" x14ac:dyDescent="0.25">
      <c r="A76" s="432"/>
      <c r="B76" s="192"/>
      <c r="C76" s="430"/>
      <c r="D76" s="430"/>
      <c r="E76" s="242"/>
      <c r="F76" s="200"/>
      <c r="G76" s="195"/>
      <c r="H76" s="242"/>
      <c r="I76" s="191" t="s">
        <v>135</v>
      </c>
      <c r="J76" s="192"/>
      <c r="K76" s="197" t="s">
        <v>190</v>
      </c>
      <c r="L76" s="196"/>
      <c r="M76" s="197" t="s">
        <v>198</v>
      </c>
      <c r="N76" s="196"/>
      <c r="O76" s="197" t="s">
        <v>199</v>
      </c>
      <c r="P76" s="196"/>
      <c r="Q76" s="197" t="s">
        <v>205</v>
      </c>
      <c r="R76" s="196"/>
      <c r="S76" s="197" t="s">
        <v>208</v>
      </c>
    </row>
    <row r="77" spans="1:19" s="188" customFormat="1" ht="6" customHeight="1" x14ac:dyDescent="0.25">
      <c r="A77" s="432"/>
      <c r="B77" s="192"/>
      <c r="C77" s="208"/>
      <c r="D77" s="208"/>
      <c r="E77" s="209"/>
      <c r="F77" s="209"/>
      <c r="G77" s="209"/>
      <c r="H77" s="209"/>
      <c r="I77" s="191"/>
      <c r="J77" s="192"/>
      <c r="K77" s="196"/>
      <c r="L77" s="196"/>
      <c r="M77" s="196"/>
      <c r="N77" s="196"/>
      <c r="O77" s="196"/>
      <c r="P77" s="196"/>
      <c r="Q77" s="196"/>
      <c r="R77" s="196"/>
      <c r="S77" s="196"/>
    </row>
    <row r="78" spans="1:19" s="188" customFormat="1" ht="25" customHeight="1" x14ac:dyDescent="0.25">
      <c r="A78" s="432"/>
      <c r="B78" s="192"/>
      <c r="C78" s="430"/>
      <c r="D78" s="430"/>
      <c r="E78" s="242"/>
      <c r="F78" s="200"/>
      <c r="G78" s="195"/>
      <c r="H78" s="242"/>
      <c r="I78" s="191" t="s">
        <v>136</v>
      </c>
      <c r="J78" s="192"/>
      <c r="K78" s="197" t="s">
        <v>200</v>
      </c>
      <c r="L78" s="196"/>
      <c r="M78" s="197" t="s">
        <v>201</v>
      </c>
      <c r="N78" s="196"/>
      <c r="O78" s="197" t="s">
        <v>204</v>
      </c>
      <c r="P78" s="196"/>
      <c r="Q78" s="197" t="s">
        <v>207</v>
      </c>
      <c r="R78" s="196"/>
      <c r="S78" s="197" t="s">
        <v>209</v>
      </c>
    </row>
    <row r="79" spans="1:19" s="188" customFormat="1" ht="12" customHeight="1" x14ac:dyDescent="0.25">
      <c r="A79" s="192"/>
      <c r="B79" s="192"/>
      <c r="C79" s="210" t="s">
        <v>0</v>
      </c>
      <c r="D79" s="210"/>
      <c r="E79" s="210" t="s">
        <v>3</v>
      </c>
      <c r="F79" s="210" t="s">
        <v>6</v>
      </c>
      <c r="G79" s="210" t="s">
        <v>9</v>
      </c>
      <c r="H79" s="210" t="s">
        <v>12</v>
      </c>
      <c r="I79" s="206"/>
      <c r="J79" s="207"/>
      <c r="K79" s="201"/>
      <c r="L79" s="201"/>
      <c r="M79" s="201"/>
      <c r="N79" s="201"/>
      <c r="O79" s="201"/>
      <c r="P79" s="201"/>
      <c r="Q79" s="201"/>
      <c r="R79" s="201"/>
      <c r="S79" s="201"/>
    </row>
    <row r="80" spans="1:19" s="188" customFormat="1" ht="25" customHeight="1" x14ac:dyDescent="0.25">
      <c r="A80" s="431" t="s">
        <v>137</v>
      </c>
      <c r="B80" s="192"/>
      <c r="C80" s="430">
        <v>1</v>
      </c>
      <c r="D80" s="430"/>
      <c r="E80" s="242">
        <v>1</v>
      </c>
      <c r="F80" s="242">
        <v>2</v>
      </c>
      <c r="G80" s="195">
        <v>2</v>
      </c>
      <c r="H80" s="242">
        <v>0</v>
      </c>
      <c r="I80" s="191" t="s">
        <v>134</v>
      </c>
      <c r="J80" s="192"/>
      <c r="K80" s="197" t="s">
        <v>206</v>
      </c>
      <c r="L80" s="196"/>
      <c r="M80" s="197" t="s">
        <v>210</v>
      </c>
      <c r="N80" s="196"/>
      <c r="O80" s="197" t="s">
        <v>212</v>
      </c>
      <c r="P80" s="196"/>
      <c r="Q80" s="197" t="s">
        <v>267</v>
      </c>
      <c r="R80" s="196"/>
      <c r="S80" s="197" t="s">
        <v>267</v>
      </c>
    </row>
    <row r="81" spans="1:19" s="188" customFormat="1" ht="6" customHeight="1" x14ac:dyDescent="0.25">
      <c r="A81" s="432"/>
      <c r="B81" s="192"/>
      <c r="C81" s="208"/>
      <c r="D81" s="208"/>
      <c r="E81" s="209"/>
      <c r="F81" s="209"/>
      <c r="G81" s="209"/>
      <c r="H81" s="209"/>
      <c r="I81" s="191"/>
      <c r="J81" s="192"/>
      <c r="K81" s="196"/>
      <c r="L81" s="196"/>
      <c r="M81" s="196"/>
      <c r="N81" s="196"/>
      <c r="O81" s="196"/>
      <c r="P81" s="196"/>
      <c r="Q81" s="196"/>
      <c r="R81" s="196"/>
      <c r="S81" s="196"/>
    </row>
    <row r="82" spans="1:19" s="188" customFormat="1" ht="25" customHeight="1" x14ac:dyDescent="0.25">
      <c r="A82" s="432"/>
      <c r="B82" s="192"/>
      <c r="C82" s="430">
        <v>1</v>
      </c>
      <c r="D82" s="430"/>
      <c r="E82" s="242">
        <v>1</v>
      </c>
      <c r="F82" s="200">
        <v>2</v>
      </c>
      <c r="G82" s="195">
        <v>2</v>
      </c>
      <c r="H82" s="242"/>
      <c r="I82" s="191" t="s">
        <v>135</v>
      </c>
      <c r="J82" s="192"/>
      <c r="K82" s="197" t="s">
        <v>199</v>
      </c>
      <c r="L82" s="196"/>
      <c r="M82" s="197" t="s">
        <v>205</v>
      </c>
      <c r="N82" s="196"/>
      <c r="O82" s="197" t="s">
        <v>208</v>
      </c>
      <c r="P82" s="196"/>
      <c r="Q82" s="197" t="s">
        <v>211</v>
      </c>
      <c r="R82" s="196"/>
      <c r="S82" s="197" t="s">
        <v>264</v>
      </c>
    </row>
    <row r="83" spans="1:19" s="188" customFormat="1" ht="6.75" customHeight="1" x14ac:dyDescent="0.25">
      <c r="A83" s="432"/>
      <c r="B83" s="192"/>
      <c r="C83" s="208"/>
      <c r="D83" s="208"/>
      <c r="E83" s="209"/>
      <c r="F83" s="209"/>
      <c r="G83" s="209"/>
      <c r="H83" s="209"/>
      <c r="I83" s="191"/>
      <c r="J83" s="192"/>
      <c r="K83" s="196"/>
      <c r="L83" s="196"/>
      <c r="M83" s="196"/>
      <c r="N83" s="196"/>
      <c r="O83" s="196"/>
      <c r="P83" s="196"/>
      <c r="Q83" s="196"/>
      <c r="R83" s="196"/>
      <c r="S83" s="196"/>
    </row>
    <row r="84" spans="1:19" s="188" customFormat="1" ht="24.75" customHeight="1" x14ac:dyDescent="0.25">
      <c r="A84" s="432"/>
      <c r="B84" s="192"/>
      <c r="C84" s="430">
        <v>1</v>
      </c>
      <c r="D84" s="430"/>
      <c r="E84" s="242">
        <v>1</v>
      </c>
      <c r="F84" s="200">
        <v>2</v>
      </c>
      <c r="G84" s="195">
        <v>2</v>
      </c>
      <c r="H84" s="242"/>
      <c r="I84" s="191" t="s">
        <v>136</v>
      </c>
      <c r="J84" s="192"/>
      <c r="K84" s="197" t="s">
        <v>204</v>
      </c>
      <c r="L84" s="196"/>
      <c r="M84" s="197" t="s">
        <v>207</v>
      </c>
      <c r="N84" s="196"/>
      <c r="O84" s="197" t="s">
        <v>209</v>
      </c>
      <c r="P84" s="196"/>
      <c r="Q84" s="197" t="s">
        <v>265</v>
      </c>
      <c r="R84" s="196"/>
      <c r="S84" s="197" t="s">
        <v>266</v>
      </c>
    </row>
    <row r="85" spans="1:19" s="180" customFormat="1" ht="27.75" customHeight="1" x14ac:dyDescent="0.35">
      <c r="A85" s="441" t="s">
        <v>215</v>
      </c>
      <c r="B85" s="442"/>
      <c r="C85" s="442"/>
      <c r="D85" s="442"/>
      <c r="E85" s="442"/>
      <c r="F85" s="442"/>
      <c r="G85" s="442"/>
      <c r="H85" s="442"/>
      <c r="I85" s="442"/>
      <c r="K85" s="183"/>
      <c r="M85" s="183"/>
      <c r="O85" s="183"/>
      <c r="Q85" s="183"/>
      <c r="S85" s="183"/>
    </row>
    <row r="86" spans="1:19" s="213" customFormat="1" ht="16.5" customHeight="1" x14ac:dyDescent="0.35">
      <c r="A86" s="442"/>
      <c r="B86" s="442"/>
      <c r="C86" s="442"/>
      <c r="D86" s="442"/>
      <c r="E86" s="442"/>
      <c r="F86" s="442"/>
      <c r="G86" s="442"/>
      <c r="H86" s="442"/>
      <c r="I86" s="442"/>
      <c r="J86" s="180"/>
      <c r="K86" s="183"/>
      <c r="L86" s="180"/>
      <c r="M86" s="183"/>
      <c r="N86" s="180"/>
      <c r="O86" s="183"/>
      <c r="P86" s="180"/>
      <c r="Q86" s="183"/>
      <c r="R86" s="180"/>
      <c r="S86" s="183"/>
    </row>
    <row r="87" spans="1:19" s="180" customFormat="1" ht="45.75" customHeight="1" x14ac:dyDescent="0.35">
      <c r="A87" s="179">
        <v>8</v>
      </c>
      <c r="C87" s="439" t="s">
        <v>260</v>
      </c>
      <c r="D87" s="439"/>
      <c r="E87" s="439"/>
      <c r="F87" s="439"/>
      <c r="G87" s="181" t="s">
        <v>128</v>
      </c>
      <c r="H87" s="255"/>
      <c r="I87" s="182" t="s">
        <v>138</v>
      </c>
      <c r="K87" s="183">
        <f>ROUND(IF($I87="1/2-time",K88,K89),0)</f>
        <v>0</v>
      </c>
      <c r="M87" s="183">
        <f>ROUND(IF($I$87="1/2-time",M88,M89),0)</f>
        <v>0</v>
      </c>
      <c r="O87" s="183">
        <f>ROUND(IF($I$87="1/2-time",O88,O89),0)</f>
        <v>0</v>
      </c>
      <c r="Q87" s="183">
        <f>ROUND(IF($I$87="1/2-time",Q88,Q89),0)</f>
        <v>0</v>
      </c>
      <c r="S87" s="183">
        <f>ROUND(IF($I$87="1/2-time",S88,S89),0)</f>
        <v>0</v>
      </c>
    </row>
    <row r="88" spans="1:19" s="180" customFormat="1" ht="17.25" hidden="1" customHeight="1" x14ac:dyDescent="0.35">
      <c r="A88" s="180">
        <v>8</v>
      </c>
      <c r="C88" s="433" t="s">
        <v>130</v>
      </c>
      <c r="D88" s="433"/>
      <c r="E88" s="433"/>
      <c r="F88" s="433"/>
      <c r="G88" s="255"/>
      <c r="H88" s="255"/>
      <c r="I88" s="255" t="s">
        <v>131</v>
      </c>
      <c r="K88" s="183">
        <f>+C94*VLOOKUP(K94,$I$230:$Q$256,5,FALSE)+C96*VLOOKUP(K96,$I$230:$Q$256,5,FALSE)+C98*VLOOKUP(K98,$I$230:$Q$256,5,FALSE)+C100*VLOOKUP(K100,$I$230:$Q$256,9,FALSE)+C102*VLOOKUP(K102,$I$230:$Q$256,9,FALSE)+C104*VLOOKUP(K104,$I$230:$Q$256,9,FALSE)</f>
        <v>0</v>
      </c>
      <c r="L88" s="183"/>
      <c r="M88" s="183">
        <f>+E94*VLOOKUP(M94,$I$230:$Q$256,5,FALSE)+E96*VLOOKUP(M96,$I$230:$Q$256,5,FALSE)+E98*VLOOKUP(M98,$I$230:$Q$256,5,FALSE)+E100*VLOOKUP(M100,$I$230:$Q$256,9,FALSE)+E102*VLOOKUP(M102,$I$230:$Q$256,9,FALSE)+E104*VLOOKUP(M104,$I$230:$Q$256,9,FALSE)</f>
        <v>0</v>
      </c>
      <c r="N88" s="183"/>
      <c r="O88" s="183">
        <f>+F94*VLOOKUP(O94,$I$230:$Q$256,5,FALSE)+F96*VLOOKUP(O96,$I$230:$Q$256,5,FALSE)+F98*VLOOKUP(O98,$I$230:$Q$256,5,FALSE)+F100*VLOOKUP(O100,$I$230:$Q$256,9,FALSE)+F102*VLOOKUP(O102,$I$230:$Q$256,9,FALSE)+F104*VLOOKUP(O104,$I$230:$Q$256,9,FALSE)</f>
        <v>0</v>
      </c>
      <c r="P88" s="183"/>
      <c r="Q88" s="183">
        <f>+G94*VLOOKUP(Q94,$I$230:$Q$256,5,FALSE)+G96*VLOOKUP(Q96,$I$230:$Q$256,5,FALSE)+G98*VLOOKUP(Q98,$I$230:$Q$256,5,FALSE)+G100*VLOOKUP(Q100,$I$230:$Q$256,9,FALSE)+G102*VLOOKUP(Q102,$I$230:$Q$256,9,FALSE)+G104*VLOOKUP(Q104,$I$230:$Q$256,9,FALSE)</f>
        <v>0</v>
      </c>
      <c r="R88" s="183"/>
      <c r="S88" s="183">
        <f>+H94*VLOOKUP(S94,$I$230:$Q$256,5,FALSE)+H96*VLOOKUP(S96,$I$230:$Q$256,5,FALSE)+H98*VLOOKUP(S98,$I$230:$Q$256,5,FALSE)+H100*VLOOKUP(S100,$I$230:$Q$256,9,FALSE)+H102*VLOOKUP(S102,$I$230:$Q$256,9,FALSE)+H104*VLOOKUP(S104,$I$230:$Q$256,9,FALSE)</f>
        <v>0</v>
      </c>
    </row>
    <row r="89" spans="1:19" s="180" customFormat="1" ht="19.5" hidden="1" customHeight="1" x14ac:dyDescent="0.35">
      <c r="A89" s="180">
        <v>8</v>
      </c>
      <c r="C89" s="433" t="s">
        <v>130</v>
      </c>
      <c r="D89" s="433"/>
      <c r="E89" s="433"/>
      <c r="F89" s="433"/>
      <c r="G89" s="255"/>
      <c r="H89" s="255"/>
      <c r="I89" s="255" t="s">
        <v>132</v>
      </c>
      <c r="K89" s="183">
        <f>+C94*VLOOKUP(K94,$I$230:$Q$256,3,FALSE)+C96*VLOOKUP(K96,$I$230:$Q$256,3,FALSE)+C98*VLOOKUP(K98,$I$230:$Q$256,3,FALSE)+C100*VLOOKUP(K100,$I$230:$Q$256,7,FALSE)+C102*VLOOKUP(K102,$I$230:$Q$256,7,FALSE)+C104*VLOOKUP(K104,$I$230:$Q$256,7,FALSE)</f>
        <v>0</v>
      </c>
      <c r="M89" s="183">
        <f>+E94*VLOOKUP(M94,$I$230:$Q$256,3,FALSE)+E96*VLOOKUP(M96,$I$230:$Q$256,3,FALSE)+E98*VLOOKUP(M98,$I$230:$Q$256,3,FALSE)+E100*VLOOKUP(M100,$I$230:$Q$256,7,FALSE)+E102*VLOOKUP(M102,$I$230:$Q$256,7,FALSE)+E104*VLOOKUP(M104,$I$230:$Q$256,7,FALSE)</f>
        <v>0</v>
      </c>
      <c r="O89" s="183">
        <f>+F94*VLOOKUP(O94,$I$200:$Q$226,3,FALSE)+F96*VLOOKUP(O96,$I$200:$Q$226,3,FALSE)+F98*VLOOKUP(O98,$I$200:$Q$226,3,FALSE)+F100*VLOOKUP(O100,$I$200:$Q$226,7,FALSE)+F102*VLOOKUP(O102,$I$200:$Q$226,7,FALSE)+F104*VLOOKUP(O104,$I$200:$Q$226,7,FALSE)</f>
        <v>0</v>
      </c>
      <c r="Q89" s="183">
        <f>+G94*VLOOKUP(Q94,$I$230:$Q$256,3,FALSE)+G96*VLOOKUP(Q96,$I$230:$Q$256,3,FALSE)+G98*VLOOKUP(Q98,$I$230:$Q$256,3,FALSE)+G100*VLOOKUP(Q100,$I$230:$Q$256,7,FALSE)+G102*VLOOKUP(Q102,$I$230:$Q$256,7,FALSE)+G104*VLOOKUP(Q104,$I$230:$Q$256,7,FALSE)</f>
        <v>0</v>
      </c>
      <c r="S89" s="183">
        <f>+H94*VLOOKUP(S94,$I$230:$Q$256,3,FALSE)+H96*VLOOKUP(S96,$I$230:$Q$256,3,FALSE)+H98*VLOOKUP(S98,$I$230:$Q$256,3,FALSE)+H100*VLOOKUP(S100,$I$230:$Q$256,7,FALSE)+H102*VLOOKUP(S102,$I$230:$Q$256,7,FALSE)+H104*VLOOKUP(S104,$I$230:$Q$256,7,FALSE)</f>
        <v>0</v>
      </c>
    </row>
    <row r="90" spans="1:19" s="180" customFormat="1" ht="6" customHeight="1" x14ac:dyDescent="0.35">
      <c r="C90" s="184"/>
      <c r="D90" s="184"/>
      <c r="E90" s="184"/>
      <c r="F90" s="184"/>
      <c r="G90" s="184"/>
      <c r="H90" s="184"/>
      <c r="I90" s="185"/>
      <c r="J90" s="186"/>
      <c r="K90" s="186"/>
      <c r="L90" s="186"/>
      <c r="M90" s="186"/>
      <c r="N90" s="186"/>
      <c r="O90" s="186"/>
      <c r="P90" s="186"/>
      <c r="Q90" s="186"/>
      <c r="R90" s="186"/>
      <c r="S90" s="186"/>
    </row>
    <row r="91" spans="1:19" s="188" customFormat="1" ht="6" customHeight="1" x14ac:dyDescent="0.25">
      <c r="A91" s="187"/>
      <c r="C91" s="189"/>
      <c r="D91" s="189"/>
      <c r="E91" s="189"/>
      <c r="F91" s="190"/>
      <c r="G91" s="190"/>
      <c r="H91" s="189"/>
      <c r="I91" s="191"/>
      <c r="J91" s="192"/>
      <c r="K91" s="191"/>
      <c r="L91" s="191"/>
      <c r="M91" s="191"/>
      <c r="N91" s="191"/>
      <c r="O91" s="191"/>
      <c r="P91" s="191"/>
      <c r="Q91" s="191"/>
      <c r="R91" s="191"/>
      <c r="S91" s="191"/>
    </row>
    <row r="92" spans="1:19" s="188" customFormat="1" ht="25" customHeight="1" x14ac:dyDescent="0.35">
      <c r="A92" s="205"/>
      <c r="B92" s="192"/>
      <c r="C92" s="434" t="s">
        <v>261</v>
      </c>
      <c r="D92" s="435"/>
      <c r="E92" s="435"/>
      <c r="F92" s="435"/>
      <c r="G92" s="435"/>
      <c r="H92" s="436"/>
      <c r="I92" s="191"/>
      <c r="J92" s="192"/>
      <c r="K92" s="183"/>
      <c r="L92" s="191"/>
      <c r="M92" s="183"/>
      <c r="N92" s="204"/>
      <c r="O92" s="183"/>
      <c r="P92" s="204"/>
      <c r="Q92" s="183"/>
      <c r="R92" s="204"/>
      <c r="S92" s="183"/>
    </row>
    <row r="93" spans="1:19" s="188" customFormat="1" ht="12" customHeight="1" x14ac:dyDescent="0.25">
      <c r="A93" s="192"/>
      <c r="B93" s="192"/>
      <c r="C93" s="206" t="s">
        <v>0</v>
      </c>
      <c r="D93" s="206"/>
      <c r="E93" s="206" t="s">
        <v>3</v>
      </c>
      <c r="F93" s="206" t="s">
        <v>6</v>
      </c>
      <c r="G93" s="206" t="s">
        <v>9</v>
      </c>
      <c r="H93" s="206" t="s">
        <v>12</v>
      </c>
      <c r="I93" s="206"/>
      <c r="J93" s="207"/>
      <c r="K93" s="207"/>
      <c r="L93" s="207"/>
      <c r="M93" s="207"/>
      <c r="N93" s="207"/>
      <c r="O93" s="207"/>
      <c r="P93" s="207"/>
      <c r="Q93" s="207"/>
      <c r="R93" s="207"/>
      <c r="S93" s="207"/>
    </row>
    <row r="94" spans="1:19" s="188" customFormat="1" ht="25" customHeight="1" x14ac:dyDescent="0.25">
      <c r="A94" s="431" t="s">
        <v>133</v>
      </c>
      <c r="B94" s="192"/>
      <c r="C94" s="437"/>
      <c r="D94" s="438"/>
      <c r="E94" s="256"/>
      <c r="F94" s="256"/>
      <c r="G94" s="195"/>
      <c r="H94" s="256"/>
      <c r="I94" s="191" t="s">
        <v>134</v>
      </c>
      <c r="J94" s="192"/>
      <c r="K94" s="197" t="s">
        <v>191</v>
      </c>
      <c r="L94" s="196"/>
      <c r="M94" s="197" t="s">
        <v>202</v>
      </c>
      <c r="N94" s="196"/>
      <c r="O94" s="197" t="s">
        <v>203</v>
      </c>
      <c r="P94" s="196"/>
      <c r="Q94" s="197" t="s">
        <v>206</v>
      </c>
      <c r="R94" s="196"/>
      <c r="S94" s="197" t="s">
        <v>210</v>
      </c>
    </row>
    <row r="95" spans="1:19" s="188" customFormat="1" ht="6" customHeight="1" x14ac:dyDescent="0.25">
      <c r="A95" s="432"/>
      <c r="B95" s="192"/>
      <c r="C95" s="208"/>
      <c r="D95" s="208"/>
      <c r="E95" s="209"/>
      <c r="F95" s="209"/>
      <c r="G95" s="209"/>
      <c r="H95" s="209"/>
      <c r="I95" s="191"/>
      <c r="J95" s="192"/>
      <c r="K95" s="196"/>
      <c r="L95" s="196"/>
      <c r="M95" s="196"/>
      <c r="N95" s="196"/>
      <c r="O95" s="196"/>
      <c r="P95" s="196"/>
      <c r="Q95" s="196"/>
      <c r="R95" s="196"/>
      <c r="S95" s="196"/>
    </row>
    <row r="96" spans="1:19" s="188" customFormat="1" ht="25" customHeight="1" x14ac:dyDescent="0.25">
      <c r="A96" s="432"/>
      <c r="B96" s="192"/>
      <c r="C96" s="430"/>
      <c r="D96" s="430"/>
      <c r="E96" s="256"/>
      <c r="F96" s="200"/>
      <c r="G96" s="195"/>
      <c r="H96" s="256"/>
      <c r="I96" s="191" t="s">
        <v>135</v>
      </c>
      <c r="J96" s="192"/>
      <c r="K96" s="197" t="s">
        <v>190</v>
      </c>
      <c r="L96" s="196"/>
      <c r="M96" s="197" t="s">
        <v>198</v>
      </c>
      <c r="N96" s="196"/>
      <c r="O96" s="197" t="s">
        <v>199</v>
      </c>
      <c r="P96" s="196"/>
      <c r="Q96" s="197" t="s">
        <v>205</v>
      </c>
      <c r="R96" s="196"/>
      <c r="S96" s="197" t="s">
        <v>208</v>
      </c>
    </row>
    <row r="97" spans="1:20" s="188" customFormat="1" ht="6" customHeight="1" x14ac:dyDescent="0.25">
      <c r="A97" s="432"/>
      <c r="B97" s="192"/>
      <c r="C97" s="208"/>
      <c r="D97" s="208"/>
      <c r="E97" s="209"/>
      <c r="F97" s="209"/>
      <c r="G97" s="209"/>
      <c r="H97" s="209"/>
      <c r="I97" s="191"/>
      <c r="J97" s="192"/>
      <c r="K97" s="196"/>
      <c r="L97" s="196"/>
      <c r="M97" s="196"/>
      <c r="N97" s="196"/>
      <c r="O97" s="196"/>
      <c r="P97" s="196"/>
      <c r="Q97" s="196"/>
      <c r="R97" s="196"/>
      <c r="S97" s="196"/>
    </row>
    <row r="98" spans="1:20" s="188" customFormat="1" ht="25" customHeight="1" x14ac:dyDescent="0.25">
      <c r="A98" s="432"/>
      <c r="B98" s="192"/>
      <c r="C98" s="430"/>
      <c r="D98" s="430"/>
      <c r="E98" s="256"/>
      <c r="F98" s="200"/>
      <c r="G98" s="195"/>
      <c r="H98" s="256"/>
      <c r="I98" s="191" t="s">
        <v>136</v>
      </c>
      <c r="J98" s="192"/>
      <c r="K98" s="197" t="s">
        <v>200</v>
      </c>
      <c r="L98" s="196"/>
      <c r="M98" s="197" t="s">
        <v>201</v>
      </c>
      <c r="N98" s="196"/>
      <c r="O98" s="197" t="s">
        <v>204</v>
      </c>
      <c r="P98" s="196"/>
      <c r="Q98" s="197" t="s">
        <v>207</v>
      </c>
      <c r="R98" s="196"/>
      <c r="S98" s="197" t="s">
        <v>209</v>
      </c>
    </row>
    <row r="99" spans="1:20" s="188" customFormat="1" ht="12" customHeight="1" x14ac:dyDescent="0.25">
      <c r="A99" s="192"/>
      <c r="B99" s="192"/>
      <c r="C99" s="210" t="s">
        <v>0</v>
      </c>
      <c r="D99" s="210"/>
      <c r="E99" s="210" t="s">
        <v>3</v>
      </c>
      <c r="F99" s="210" t="s">
        <v>6</v>
      </c>
      <c r="G99" s="210" t="s">
        <v>9</v>
      </c>
      <c r="H99" s="210" t="s">
        <v>12</v>
      </c>
      <c r="I99" s="206"/>
      <c r="J99" s="207"/>
      <c r="K99" s="201"/>
      <c r="L99" s="201"/>
      <c r="M99" s="201"/>
      <c r="N99" s="201"/>
      <c r="O99" s="201"/>
      <c r="P99" s="201"/>
      <c r="Q99" s="201"/>
      <c r="R99" s="201"/>
      <c r="S99" s="201"/>
    </row>
    <row r="100" spans="1:20" s="188" customFormat="1" ht="25" customHeight="1" x14ac:dyDescent="0.25">
      <c r="A100" s="431" t="s">
        <v>137</v>
      </c>
      <c r="B100" s="192"/>
      <c r="C100" s="430"/>
      <c r="D100" s="430"/>
      <c r="E100" s="256"/>
      <c r="F100" s="256"/>
      <c r="G100" s="195"/>
      <c r="H100" s="256"/>
      <c r="I100" s="191" t="s">
        <v>134</v>
      </c>
      <c r="J100" s="192"/>
      <c r="K100" s="197" t="s">
        <v>191</v>
      </c>
      <c r="L100" s="196"/>
      <c r="M100" s="197" t="s">
        <v>202</v>
      </c>
      <c r="N100" s="196"/>
      <c r="O100" s="197" t="s">
        <v>203</v>
      </c>
      <c r="P100" s="196"/>
      <c r="Q100" s="197" t="s">
        <v>206</v>
      </c>
      <c r="R100" s="196"/>
      <c r="S100" s="197" t="s">
        <v>210</v>
      </c>
    </row>
    <row r="101" spans="1:20" s="188" customFormat="1" ht="6" customHeight="1" x14ac:dyDescent="0.25">
      <c r="A101" s="432"/>
      <c r="B101" s="192"/>
      <c r="C101" s="208"/>
      <c r="D101" s="208"/>
      <c r="E101" s="209"/>
      <c r="F101" s="209"/>
      <c r="G101" s="209"/>
      <c r="H101" s="209"/>
      <c r="I101" s="191"/>
      <c r="J101" s="192"/>
      <c r="K101" s="196"/>
      <c r="L101" s="196"/>
      <c r="M101" s="196"/>
      <c r="N101" s="196"/>
      <c r="O101" s="196"/>
      <c r="P101" s="196"/>
      <c r="Q101" s="196"/>
      <c r="R101" s="196"/>
      <c r="S101" s="196"/>
    </row>
    <row r="102" spans="1:20" s="188" customFormat="1" ht="25" customHeight="1" x14ac:dyDescent="0.25">
      <c r="A102" s="432"/>
      <c r="B102" s="192"/>
      <c r="C102" s="430"/>
      <c r="D102" s="430"/>
      <c r="E102" s="256"/>
      <c r="F102" s="200"/>
      <c r="G102" s="195"/>
      <c r="H102" s="256"/>
      <c r="I102" s="191" t="s">
        <v>135</v>
      </c>
      <c r="J102" s="192"/>
      <c r="K102" s="197" t="s">
        <v>190</v>
      </c>
      <c r="L102" s="196"/>
      <c r="M102" s="197" t="s">
        <v>198</v>
      </c>
      <c r="N102" s="196"/>
      <c r="O102" s="197" t="s">
        <v>199</v>
      </c>
      <c r="P102" s="196"/>
      <c r="Q102" s="197" t="s">
        <v>205</v>
      </c>
      <c r="R102" s="196"/>
      <c r="S102" s="197" t="s">
        <v>208</v>
      </c>
    </row>
    <row r="103" spans="1:20" s="188" customFormat="1" ht="6.75" customHeight="1" x14ac:dyDescent="0.25">
      <c r="A103" s="432"/>
      <c r="B103" s="192"/>
      <c r="C103" s="208"/>
      <c r="D103" s="208"/>
      <c r="E103" s="209"/>
      <c r="F103" s="209"/>
      <c r="G103" s="209"/>
      <c r="H103" s="209"/>
      <c r="I103" s="191"/>
      <c r="J103" s="192"/>
      <c r="K103" s="196"/>
      <c r="L103" s="196"/>
      <c r="M103" s="196"/>
      <c r="N103" s="196"/>
      <c r="O103" s="196"/>
      <c r="P103" s="196"/>
      <c r="Q103" s="196"/>
      <c r="R103" s="196"/>
      <c r="S103" s="196"/>
    </row>
    <row r="104" spans="1:20" s="188" customFormat="1" ht="24.75" customHeight="1" x14ac:dyDescent="0.25">
      <c r="A104" s="432"/>
      <c r="B104" s="192"/>
      <c r="C104" s="430"/>
      <c r="D104" s="430"/>
      <c r="E104" s="256"/>
      <c r="F104" s="200"/>
      <c r="G104" s="195"/>
      <c r="H104" s="256"/>
      <c r="I104" s="191" t="s">
        <v>136</v>
      </c>
      <c r="J104" s="192"/>
      <c r="K104" s="197" t="s">
        <v>200</v>
      </c>
      <c r="L104" s="196"/>
      <c r="M104" s="197" t="s">
        <v>201</v>
      </c>
      <c r="N104" s="196"/>
      <c r="O104" s="197" t="s">
        <v>204</v>
      </c>
      <c r="P104" s="196"/>
      <c r="Q104" s="197" t="s">
        <v>207</v>
      </c>
      <c r="R104" s="196"/>
      <c r="S104" s="197" t="s">
        <v>209</v>
      </c>
    </row>
    <row r="105" spans="1:20" s="213" customFormat="1" ht="6" customHeight="1" x14ac:dyDescent="0.35">
      <c r="A105" s="180"/>
      <c r="B105" s="180"/>
      <c r="C105" s="180"/>
      <c r="D105" s="180"/>
      <c r="E105" s="180"/>
      <c r="F105" s="180"/>
      <c r="G105" s="180"/>
      <c r="H105" s="180"/>
      <c r="I105" s="180"/>
      <c r="J105" s="180"/>
      <c r="K105" s="183"/>
      <c r="L105" s="180"/>
      <c r="M105" s="183"/>
      <c r="N105" s="180"/>
      <c r="O105" s="183"/>
      <c r="P105" s="180"/>
      <c r="Q105" s="183"/>
      <c r="R105" s="180"/>
      <c r="S105" s="183"/>
    </row>
    <row r="106" spans="1:20" s="213" customFormat="1" ht="11.25" customHeight="1" x14ac:dyDescent="0.35">
      <c r="A106" s="180"/>
      <c r="B106" s="180"/>
      <c r="C106" s="180"/>
      <c r="D106" s="180"/>
      <c r="E106" s="180"/>
      <c r="F106" s="180"/>
      <c r="G106" s="180"/>
      <c r="H106" s="180"/>
      <c r="I106" s="180"/>
      <c r="J106" s="180"/>
      <c r="K106" s="183"/>
      <c r="L106" s="180"/>
      <c r="M106" s="183"/>
      <c r="N106" s="180"/>
      <c r="O106" s="183"/>
      <c r="P106" s="180"/>
      <c r="Q106" s="183"/>
      <c r="R106" s="180"/>
      <c r="S106" s="183"/>
    </row>
    <row r="107" spans="1:20" s="213" customFormat="1" ht="15" hidden="1" customHeight="1" x14ac:dyDescent="0.35">
      <c r="A107" s="180"/>
      <c r="B107" s="180"/>
      <c r="C107" s="215"/>
      <c r="D107" s="215"/>
      <c r="E107" s="215"/>
      <c r="F107" s="215"/>
      <c r="G107" s="215"/>
      <c r="H107" s="215"/>
      <c r="I107" s="215"/>
      <c r="J107" s="180"/>
      <c r="K107" s="183" t="s">
        <v>139</v>
      </c>
      <c r="L107" s="180"/>
      <c r="M107" s="183" t="s">
        <v>140</v>
      </c>
      <c r="N107" s="180"/>
      <c r="O107" s="183" t="s">
        <v>141</v>
      </c>
      <c r="P107" s="180"/>
      <c r="Q107" s="183" t="s">
        <v>142</v>
      </c>
      <c r="R107" s="180"/>
      <c r="S107" s="183" t="s">
        <v>262</v>
      </c>
      <c r="T107" s="180"/>
    </row>
    <row r="108" spans="1:20" s="213" customFormat="1" ht="12" hidden="1" customHeight="1" x14ac:dyDescent="0.35">
      <c r="A108" s="180"/>
      <c r="B108" s="180"/>
      <c r="C108" s="180"/>
      <c r="D108" s="180"/>
      <c r="E108" s="180"/>
      <c r="F108" s="180"/>
      <c r="G108" s="180"/>
      <c r="H108" s="180"/>
      <c r="I108" s="180"/>
      <c r="J108" s="180"/>
      <c r="K108" s="180"/>
      <c r="L108" s="180"/>
      <c r="M108" s="183"/>
      <c r="N108" s="180"/>
      <c r="O108" s="183"/>
      <c r="P108" s="180"/>
      <c r="Q108" s="183"/>
      <c r="R108" s="180"/>
      <c r="S108" s="180">
        <v>1.04</v>
      </c>
      <c r="T108" s="180"/>
    </row>
    <row r="109" spans="1:20" s="213" customFormat="1" ht="12.75" hidden="1" customHeight="1" x14ac:dyDescent="0.35">
      <c r="A109" s="180"/>
      <c r="B109" s="180"/>
      <c r="C109" s="234"/>
      <c r="D109" s="234"/>
      <c r="E109" s="234"/>
      <c r="F109" s="234"/>
      <c r="G109" s="234"/>
      <c r="H109" s="234"/>
      <c r="I109" s="196" t="s">
        <v>263</v>
      </c>
      <c r="J109" s="216"/>
      <c r="K109" s="180"/>
      <c r="L109" s="180"/>
      <c r="M109" s="183"/>
      <c r="N109" s="180"/>
      <c r="O109" s="183"/>
      <c r="P109" s="180"/>
      <c r="Q109" s="183"/>
      <c r="R109" s="180"/>
      <c r="S109" s="235" t="s">
        <v>129</v>
      </c>
      <c r="T109" s="180"/>
    </row>
    <row r="110" spans="1:20" s="213" customFormat="1" ht="12.75" hidden="1" customHeight="1" x14ac:dyDescent="0.35">
      <c r="A110" s="180"/>
      <c r="B110" s="180"/>
      <c r="C110" s="236"/>
      <c r="D110" s="236"/>
      <c r="E110" s="236"/>
      <c r="F110" s="236"/>
      <c r="G110" s="236"/>
      <c r="H110" s="236"/>
      <c r="I110" s="196"/>
      <c r="J110" s="216"/>
      <c r="K110" s="180"/>
      <c r="L110" s="180"/>
      <c r="M110" s="183"/>
      <c r="N110" s="180"/>
      <c r="O110" s="183"/>
      <c r="P110" s="180"/>
      <c r="Q110" s="183"/>
      <c r="R110" s="235"/>
      <c r="S110" s="235" t="s">
        <v>138</v>
      </c>
      <c r="T110" s="180"/>
    </row>
    <row r="111" spans="1:20" s="213" customFormat="1" ht="14.25" hidden="1" customHeight="1" x14ac:dyDescent="0.35">
      <c r="A111" s="180"/>
      <c r="B111" s="180"/>
      <c r="C111" s="215"/>
      <c r="D111" s="215"/>
      <c r="E111" s="215"/>
      <c r="F111" s="215"/>
      <c r="G111" s="215"/>
      <c r="H111" s="215"/>
      <c r="I111" s="218" t="s">
        <v>190</v>
      </c>
      <c r="K111" s="399">
        <f>$Q$111/4</f>
        <v>1219.75</v>
      </c>
      <c r="M111" s="399">
        <f>$O$111</f>
        <v>2439.5</v>
      </c>
      <c r="O111" s="399">
        <f>$Q$111/2</f>
        <v>2439.5</v>
      </c>
      <c r="Q111" s="399">
        <v>4879</v>
      </c>
      <c r="R111" s="180"/>
      <c r="S111" s="183"/>
      <c r="T111" s="180"/>
    </row>
    <row r="112" spans="1:20" s="213" customFormat="1" ht="14.25" hidden="1" customHeight="1" x14ac:dyDescent="0.35">
      <c r="A112" s="180"/>
      <c r="B112" s="180"/>
      <c r="C112" s="234"/>
      <c r="D112" s="234"/>
      <c r="E112" s="234"/>
      <c r="F112" s="234"/>
      <c r="G112" s="234"/>
      <c r="H112" s="234"/>
      <c r="I112" s="218" t="s">
        <v>198</v>
      </c>
      <c r="K112" s="219">
        <f>K111*$S$108</f>
        <v>1268.54</v>
      </c>
      <c r="L112" s="219"/>
      <c r="M112" s="219">
        <f>M111*$S$108</f>
        <v>2537.08</v>
      </c>
      <c r="N112" s="219"/>
      <c r="O112" s="219">
        <f>$Q$112/2</f>
        <v>2537.08</v>
      </c>
      <c r="P112" s="219"/>
      <c r="Q112" s="219">
        <f>Q111*$S$108</f>
        <v>5074.16</v>
      </c>
      <c r="R112" s="180"/>
      <c r="S112" s="183"/>
      <c r="T112" s="180"/>
    </row>
    <row r="113" spans="1:20" s="213" customFormat="1" ht="14.25" hidden="1" customHeight="1" x14ac:dyDescent="0.35">
      <c r="A113" s="180"/>
      <c r="B113" s="180"/>
      <c r="C113" s="215"/>
      <c r="D113" s="215"/>
      <c r="E113" s="215"/>
      <c r="F113" s="215"/>
      <c r="G113" s="215"/>
      <c r="H113" s="215"/>
      <c r="I113" s="218" t="s">
        <v>199</v>
      </c>
      <c r="K113" s="219">
        <f t="shared" ref="K113:K118" si="0">K112*$S$108</f>
        <v>1319.2816</v>
      </c>
      <c r="M113" s="219">
        <f t="shared" ref="M113:Q118" si="1">M112*$S$108</f>
        <v>2638.5632000000001</v>
      </c>
      <c r="O113" s="219">
        <f t="shared" si="1"/>
        <v>2638.5632000000001</v>
      </c>
      <c r="Q113" s="219">
        <f t="shared" si="1"/>
        <v>5277.1264000000001</v>
      </c>
      <c r="R113" s="180"/>
      <c r="S113" s="183"/>
      <c r="T113" s="180"/>
    </row>
    <row r="114" spans="1:20" s="213" customFormat="1" ht="14.25" hidden="1" customHeight="1" x14ac:dyDescent="0.35">
      <c r="A114" s="180"/>
      <c r="B114" s="180"/>
      <c r="C114" s="215"/>
      <c r="D114" s="215"/>
      <c r="E114" s="215"/>
      <c r="F114" s="215"/>
      <c r="G114" s="215"/>
      <c r="H114" s="215"/>
      <c r="I114" s="218" t="s">
        <v>205</v>
      </c>
      <c r="K114" s="219">
        <f t="shared" si="0"/>
        <v>1372.052864</v>
      </c>
      <c r="M114" s="219">
        <f t="shared" si="1"/>
        <v>2744.105728</v>
      </c>
      <c r="O114" s="219">
        <f t="shared" si="1"/>
        <v>2744.105728</v>
      </c>
      <c r="Q114" s="219">
        <f>Q113*$S$108</f>
        <v>5488.211456</v>
      </c>
      <c r="R114" s="180"/>
      <c r="S114" s="183"/>
      <c r="T114" s="180"/>
    </row>
    <row r="115" spans="1:20" s="213" customFormat="1" ht="14.25" hidden="1" customHeight="1" x14ac:dyDescent="0.35">
      <c r="A115" s="180"/>
      <c r="B115" s="180"/>
      <c r="C115" s="215"/>
      <c r="D115" s="215"/>
      <c r="E115" s="215"/>
      <c r="F115" s="215"/>
      <c r="G115" s="215"/>
      <c r="H115" s="215"/>
      <c r="I115" s="218" t="s">
        <v>208</v>
      </c>
      <c r="K115" s="219">
        <f t="shared" si="0"/>
        <v>1426.93497856</v>
      </c>
      <c r="M115" s="219">
        <f t="shared" si="1"/>
        <v>2853.86995712</v>
      </c>
      <c r="O115" s="219">
        <f t="shared" si="1"/>
        <v>2853.86995712</v>
      </c>
      <c r="Q115" s="219">
        <f>Q114*$S$108</f>
        <v>5707.73991424</v>
      </c>
      <c r="R115" s="180"/>
      <c r="S115" s="183"/>
      <c r="T115" s="180"/>
    </row>
    <row r="116" spans="1:20" s="213" customFormat="1" ht="14.25" hidden="1" customHeight="1" x14ac:dyDescent="0.35">
      <c r="A116" s="180"/>
      <c r="B116" s="180"/>
      <c r="C116" s="215"/>
      <c r="D116" s="215"/>
      <c r="E116" s="215"/>
      <c r="F116" s="215"/>
      <c r="G116" s="215"/>
      <c r="H116" s="215"/>
      <c r="I116" s="218" t="s">
        <v>211</v>
      </c>
      <c r="K116" s="219">
        <f t="shared" si="0"/>
        <v>1484.0123777024</v>
      </c>
      <c r="M116" s="219">
        <f t="shared" si="1"/>
        <v>2968.0247554048001</v>
      </c>
      <c r="O116" s="219">
        <f t="shared" si="1"/>
        <v>2968.0247554048001</v>
      </c>
      <c r="Q116" s="219">
        <f>Q115*$S$108</f>
        <v>5936.0495108096002</v>
      </c>
      <c r="R116" s="180"/>
      <c r="S116" s="183"/>
      <c r="T116" s="180"/>
    </row>
    <row r="117" spans="1:20" s="213" customFormat="1" ht="14.25" hidden="1" customHeight="1" x14ac:dyDescent="0.35">
      <c r="A117" s="180"/>
      <c r="B117" s="180"/>
      <c r="C117" s="215"/>
      <c r="D117" s="215"/>
      <c r="E117" s="215"/>
      <c r="F117" s="215"/>
      <c r="G117" s="215"/>
      <c r="H117" s="215"/>
      <c r="I117" s="218" t="s">
        <v>264</v>
      </c>
      <c r="K117" s="219">
        <f t="shared" si="0"/>
        <v>1543.3728728104961</v>
      </c>
      <c r="M117" s="219">
        <f t="shared" si="1"/>
        <v>3086.7457456209922</v>
      </c>
      <c r="O117" s="219">
        <f t="shared" si="1"/>
        <v>3086.7457456209922</v>
      </c>
      <c r="Q117" s="219">
        <f>Q116*$S$108</f>
        <v>6173.4914912419845</v>
      </c>
      <c r="R117" s="180"/>
      <c r="S117" s="183"/>
      <c r="T117" s="180"/>
    </row>
    <row r="118" spans="1:20" s="213" customFormat="1" ht="14.25" hidden="1" customHeight="1" x14ac:dyDescent="0.35">
      <c r="A118" s="180"/>
      <c r="B118" s="180"/>
      <c r="C118" s="215"/>
      <c r="D118" s="215"/>
      <c r="E118" s="215"/>
      <c r="F118" s="215"/>
      <c r="G118" s="215"/>
      <c r="H118" s="215"/>
      <c r="I118" s="218" t="s">
        <v>403</v>
      </c>
      <c r="K118" s="219">
        <f t="shared" si="0"/>
        <v>1605.1077877229161</v>
      </c>
      <c r="M118" s="219">
        <f t="shared" si="1"/>
        <v>3210.2155754458322</v>
      </c>
      <c r="O118" s="219">
        <f t="shared" si="1"/>
        <v>3210.2155754458322</v>
      </c>
      <c r="Q118" s="219">
        <f t="shared" si="1"/>
        <v>6420.4311508916644</v>
      </c>
      <c r="R118" s="180"/>
      <c r="S118" s="183"/>
      <c r="T118" s="180"/>
    </row>
    <row r="119" spans="1:20" s="213" customFormat="1" ht="14.25" hidden="1" customHeight="1" x14ac:dyDescent="0.35">
      <c r="A119" s="180"/>
      <c r="B119" s="180"/>
      <c r="C119" s="215"/>
      <c r="D119" s="215"/>
      <c r="E119" s="215"/>
      <c r="F119" s="215"/>
      <c r="G119" s="215"/>
      <c r="H119" s="215"/>
      <c r="I119" s="218"/>
      <c r="J119" s="220"/>
      <c r="K119" s="214"/>
      <c r="M119" s="214"/>
      <c r="O119" s="214"/>
      <c r="Q119" s="214"/>
      <c r="R119" s="180"/>
      <c r="S119" s="183"/>
      <c r="T119" s="180"/>
    </row>
    <row r="120" spans="1:20" s="213" customFormat="1" ht="14.25" hidden="1" customHeight="1" x14ac:dyDescent="0.35">
      <c r="A120" s="180"/>
      <c r="B120" s="180"/>
      <c r="C120" s="215"/>
      <c r="D120" s="215"/>
      <c r="E120" s="215"/>
      <c r="F120" s="215"/>
      <c r="G120" s="215"/>
      <c r="H120" s="215"/>
      <c r="I120" s="218" t="s">
        <v>200</v>
      </c>
      <c r="J120" s="220"/>
      <c r="K120" s="400">
        <f>$Q$120/4</f>
        <v>1219.75</v>
      </c>
      <c r="M120" s="400">
        <f>$Q$120/2</f>
        <v>2439.5</v>
      </c>
      <c r="O120" s="400">
        <f>$Q$120/2</f>
        <v>2439.5</v>
      </c>
      <c r="Q120" s="400">
        <v>4879</v>
      </c>
      <c r="R120" s="180"/>
      <c r="S120" s="183"/>
      <c r="T120" s="180"/>
    </row>
    <row r="121" spans="1:20" s="213" customFormat="1" ht="14.25" hidden="1" customHeight="1" x14ac:dyDescent="0.35">
      <c r="A121" s="180"/>
      <c r="B121" s="180"/>
      <c r="C121" s="234"/>
      <c r="D121" s="234"/>
      <c r="E121" s="234"/>
      <c r="F121" s="234"/>
      <c r="G121" s="234"/>
      <c r="H121" s="234"/>
      <c r="I121" s="218" t="s">
        <v>201</v>
      </c>
      <c r="K121" s="219">
        <f>M121/2</f>
        <v>1268.54</v>
      </c>
      <c r="M121" s="219">
        <f>O121</f>
        <v>2537.08</v>
      </c>
      <c r="O121" s="219">
        <f>Q121/2</f>
        <v>2537.08</v>
      </c>
      <c r="Q121" s="219">
        <f>Q120*$S$108</f>
        <v>5074.16</v>
      </c>
      <c r="R121" s="180"/>
      <c r="S121" s="183"/>
      <c r="T121" s="180"/>
    </row>
    <row r="122" spans="1:20" s="213" customFormat="1" ht="14.25" hidden="1" customHeight="1" x14ac:dyDescent="0.35">
      <c r="A122" s="180"/>
      <c r="B122" s="180"/>
      <c r="C122" s="215"/>
      <c r="D122" s="237"/>
      <c r="E122" s="215"/>
      <c r="F122" s="215"/>
      <c r="G122" s="215"/>
      <c r="H122" s="215"/>
      <c r="I122" s="218" t="s">
        <v>204</v>
      </c>
      <c r="K122" s="219">
        <f t="shared" ref="K122:K127" si="2">K121*$S$108</f>
        <v>1319.2816</v>
      </c>
      <c r="M122" s="219">
        <f t="shared" ref="M122:M127" si="3">M121*$S$108</f>
        <v>2638.5632000000001</v>
      </c>
      <c r="O122" s="219">
        <f t="shared" ref="O122:O127" si="4">O121*$S$108</f>
        <v>2638.5632000000001</v>
      </c>
      <c r="Q122" s="219">
        <f>Q121*$S$108</f>
        <v>5277.1264000000001</v>
      </c>
      <c r="R122" s="180"/>
      <c r="S122" s="183"/>
      <c r="T122" s="180"/>
    </row>
    <row r="123" spans="1:20" s="213" customFormat="1" ht="14.25" hidden="1" customHeight="1" x14ac:dyDescent="0.35">
      <c r="A123" s="180"/>
      <c r="B123" s="180"/>
      <c r="C123" s="234"/>
      <c r="D123" s="234"/>
      <c r="E123" s="234"/>
      <c r="F123" s="234"/>
      <c r="G123" s="234"/>
      <c r="H123" s="234"/>
      <c r="I123" s="218" t="s">
        <v>207</v>
      </c>
      <c r="K123" s="219">
        <f t="shared" si="2"/>
        <v>1372.052864</v>
      </c>
      <c r="M123" s="219">
        <f t="shared" si="3"/>
        <v>2744.105728</v>
      </c>
      <c r="O123" s="219">
        <f t="shared" si="4"/>
        <v>2744.105728</v>
      </c>
      <c r="Q123" s="219">
        <f t="shared" ref="Q123:Q127" si="5">Q122*$S$108</f>
        <v>5488.211456</v>
      </c>
      <c r="R123" s="180"/>
      <c r="S123" s="183"/>
      <c r="T123" s="180"/>
    </row>
    <row r="124" spans="1:20" s="213" customFormat="1" ht="14.25" hidden="1" customHeight="1" x14ac:dyDescent="0.35">
      <c r="A124" s="180"/>
      <c r="B124" s="180"/>
      <c r="C124" s="234"/>
      <c r="D124" s="234"/>
      <c r="E124" s="234"/>
      <c r="F124" s="234"/>
      <c r="G124" s="234"/>
      <c r="H124" s="234"/>
      <c r="I124" s="218" t="s">
        <v>209</v>
      </c>
      <c r="K124" s="219">
        <f t="shared" si="2"/>
        <v>1426.93497856</v>
      </c>
      <c r="L124" s="217"/>
      <c r="M124" s="219">
        <f t="shared" si="3"/>
        <v>2853.86995712</v>
      </c>
      <c r="N124" s="217"/>
      <c r="O124" s="219">
        <f t="shared" si="4"/>
        <v>2853.86995712</v>
      </c>
      <c r="P124" s="217"/>
      <c r="Q124" s="219">
        <f t="shared" si="5"/>
        <v>5707.73991424</v>
      </c>
      <c r="R124" s="180"/>
      <c r="S124" s="183"/>
      <c r="T124" s="180"/>
    </row>
    <row r="125" spans="1:20" s="213" customFormat="1" ht="14.25" hidden="1" customHeight="1" x14ac:dyDescent="0.35">
      <c r="A125" s="180"/>
      <c r="B125" s="180"/>
      <c r="C125" s="234"/>
      <c r="D125" s="234"/>
      <c r="E125" s="234"/>
      <c r="F125" s="234"/>
      <c r="G125" s="234"/>
      <c r="H125" s="234"/>
      <c r="I125" s="218" t="s">
        <v>265</v>
      </c>
      <c r="K125" s="219">
        <f t="shared" si="2"/>
        <v>1484.0123777024</v>
      </c>
      <c r="L125" s="217"/>
      <c r="M125" s="219">
        <f t="shared" si="3"/>
        <v>2968.0247554048001</v>
      </c>
      <c r="N125" s="217"/>
      <c r="O125" s="219">
        <f t="shared" si="4"/>
        <v>2968.0247554048001</v>
      </c>
      <c r="P125" s="217"/>
      <c r="Q125" s="219">
        <f t="shared" si="5"/>
        <v>5936.0495108096002</v>
      </c>
      <c r="R125" s="180"/>
      <c r="S125" s="183"/>
      <c r="T125" s="180"/>
    </row>
    <row r="126" spans="1:20" s="213" customFormat="1" ht="14.25" hidden="1" customHeight="1" x14ac:dyDescent="0.35">
      <c r="A126" s="180"/>
      <c r="B126" s="180"/>
      <c r="C126" s="234"/>
      <c r="D126" s="234"/>
      <c r="E126" s="234"/>
      <c r="F126" s="234"/>
      <c r="G126" s="234"/>
      <c r="H126" s="234"/>
      <c r="I126" s="218" t="s">
        <v>266</v>
      </c>
      <c r="K126" s="219">
        <f t="shared" si="2"/>
        <v>1543.3728728104961</v>
      </c>
      <c r="L126" s="217"/>
      <c r="M126" s="219">
        <f t="shared" si="3"/>
        <v>3086.7457456209922</v>
      </c>
      <c r="N126" s="217"/>
      <c r="O126" s="219">
        <f t="shared" si="4"/>
        <v>3086.7457456209922</v>
      </c>
      <c r="P126" s="217"/>
      <c r="Q126" s="219">
        <f t="shared" si="5"/>
        <v>6173.4914912419845</v>
      </c>
      <c r="R126" s="180"/>
      <c r="S126" s="183"/>
      <c r="T126" s="180"/>
    </row>
    <row r="127" spans="1:20" s="213" customFormat="1" ht="14.25" hidden="1" customHeight="1" x14ac:dyDescent="0.35">
      <c r="A127" s="180"/>
      <c r="B127" s="180"/>
      <c r="C127" s="234"/>
      <c r="D127" s="234"/>
      <c r="E127" s="234"/>
      <c r="F127" s="234"/>
      <c r="G127" s="234"/>
      <c r="H127" s="234"/>
      <c r="I127" s="218" t="s">
        <v>404</v>
      </c>
      <c r="K127" s="219">
        <f t="shared" si="2"/>
        <v>1605.1077877229161</v>
      </c>
      <c r="L127" s="217"/>
      <c r="M127" s="219">
        <f t="shared" si="3"/>
        <v>3210.2155754458322</v>
      </c>
      <c r="N127" s="217"/>
      <c r="O127" s="219">
        <f t="shared" si="4"/>
        <v>3210.2155754458322</v>
      </c>
      <c r="P127" s="217"/>
      <c r="Q127" s="219">
        <f t="shared" si="5"/>
        <v>6420.4311508916644</v>
      </c>
      <c r="R127" s="180"/>
      <c r="S127" s="183"/>
      <c r="T127" s="180"/>
    </row>
    <row r="128" spans="1:20" s="213" customFormat="1" ht="14.25" hidden="1" customHeight="1" x14ac:dyDescent="0.35">
      <c r="A128" s="180"/>
      <c r="B128" s="180"/>
      <c r="C128" s="234"/>
      <c r="D128" s="234"/>
      <c r="E128" s="234"/>
      <c r="F128" s="234"/>
      <c r="G128" s="234"/>
      <c r="H128" s="234"/>
      <c r="I128" s="218"/>
      <c r="K128" s="214"/>
      <c r="M128" s="214"/>
      <c r="O128" s="214"/>
      <c r="Q128" s="214"/>
      <c r="R128" s="180"/>
      <c r="S128" s="183"/>
      <c r="T128" s="180"/>
    </row>
    <row r="129" spans="1:21" s="221" customFormat="1" ht="14.25" hidden="1" customHeight="1" x14ac:dyDescent="0.35">
      <c r="A129" s="216"/>
      <c r="B129" s="216"/>
      <c r="C129" s="238"/>
      <c r="D129" s="238"/>
      <c r="E129" s="238"/>
      <c r="F129" s="238"/>
      <c r="G129" s="238"/>
      <c r="H129" s="238"/>
      <c r="I129" s="218" t="s">
        <v>191</v>
      </c>
      <c r="J129" s="213"/>
      <c r="K129" s="401">
        <f>$Q$129/4</f>
        <v>678.75</v>
      </c>
      <c r="L129" s="213"/>
      <c r="M129" s="401">
        <f>$Q$129/2</f>
        <v>1357.5</v>
      </c>
      <c r="N129" s="213"/>
      <c r="O129" s="401">
        <f>$Q$129/2</f>
        <v>1357.5</v>
      </c>
      <c r="P129" s="222"/>
      <c r="Q129" s="401">
        <v>2715</v>
      </c>
      <c r="R129" s="216"/>
      <c r="S129" s="216"/>
      <c r="T129" s="216"/>
    </row>
    <row r="130" spans="1:21" s="221" customFormat="1" ht="14.25" hidden="1" customHeight="1" x14ac:dyDescent="0.35">
      <c r="A130" s="216"/>
      <c r="B130" s="216"/>
      <c r="C130" s="238"/>
      <c r="D130" s="238"/>
      <c r="E130" s="238"/>
      <c r="F130" s="238"/>
      <c r="G130" s="238"/>
      <c r="H130" s="238"/>
      <c r="I130" s="218" t="s">
        <v>202</v>
      </c>
      <c r="J130" s="213"/>
      <c r="K130" s="219">
        <f>K129*$S$108</f>
        <v>705.9</v>
      </c>
      <c r="L130" s="213"/>
      <c r="M130" s="219">
        <f>M129*$S$108</f>
        <v>1411.8</v>
      </c>
      <c r="N130" s="213"/>
      <c r="O130" s="219">
        <f>O129*$S$108</f>
        <v>1411.8</v>
      </c>
      <c r="P130" s="222"/>
      <c r="Q130" s="219">
        <f>Q129*$S$108</f>
        <v>2823.6</v>
      </c>
      <c r="R130" s="216"/>
      <c r="S130" s="216"/>
      <c r="T130" s="216"/>
    </row>
    <row r="131" spans="1:21" s="221" customFormat="1" ht="14.25" hidden="1" customHeight="1" x14ac:dyDescent="0.35">
      <c r="A131" s="216"/>
      <c r="B131" s="216"/>
      <c r="C131" s="238"/>
      <c r="D131" s="238"/>
      <c r="E131" s="238"/>
      <c r="F131" s="238"/>
      <c r="G131" s="238"/>
      <c r="H131" s="238"/>
      <c r="I131" s="218" t="s">
        <v>203</v>
      </c>
      <c r="J131" s="213"/>
      <c r="K131" s="219">
        <f t="shared" ref="K131:K136" si="6">K130*$S$108</f>
        <v>734.13599999999997</v>
      </c>
      <c r="L131" s="213"/>
      <c r="M131" s="219">
        <f t="shared" ref="M131:M135" si="7">M130*$S$108</f>
        <v>1468.2719999999999</v>
      </c>
      <c r="N131" s="213"/>
      <c r="O131" s="219">
        <f t="shared" ref="O131:O136" si="8">O130*$S$108</f>
        <v>1468.2719999999999</v>
      </c>
      <c r="P131" s="222"/>
      <c r="Q131" s="219">
        <f t="shared" ref="Q131:Q136" si="9">Q130*$S$108</f>
        <v>2936.5439999999999</v>
      </c>
      <c r="R131" s="216"/>
      <c r="S131" s="216"/>
      <c r="T131" s="216"/>
    </row>
    <row r="132" spans="1:21" s="221" customFormat="1" ht="14.25" hidden="1" customHeight="1" x14ac:dyDescent="0.35">
      <c r="A132" s="216"/>
      <c r="B132" s="216"/>
      <c r="C132" s="238"/>
      <c r="D132" s="238"/>
      <c r="E132" s="238"/>
      <c r="F132" s="238"/>
      <c r="G132" s="238"/>
      <c r="H132" s="238"/>
      <c r="I132" s="218" t="s">
        <v>206</v>
      </c>
      <c r="J132" s="213"/>
      <c r="K132" s="219">
        <f t="shared" si="6"/>
        <v>763.50144</v>
      </c>
      <c r="L132" s="213"/>
      <c r="M132" s="219">
        <f t="shared" si="7"/>
        <v>1527.00288</v>
      </c>
      <c r="N132" s="213"/>
      <c r="O132" s="219">
        <f t="shared" si="8"/>
        <v>1527.00288</v>
      </c>
      <c r="P132" s="222"/>
      <c r="Q132" s="219">
        <f t="shared" si="9"/>
        <v>3054.00576</v>
      </c>
      <c r="R132" s="216"/>
      <c r="S132" s="216"/>
      <c r="T132" s="216"/>
    </row>
    <row r="133" spans="1:21" s="221" customFormat="1" ht="14.25" hidden="1" customHeight="1" x14ac:dyDescent="0.35">
      <c r="A133" s="216"/>
      <c r="B133" s="216"/>
      <c r="C133" s="238"/>
      <c r="D133" s="238"/>
      <c r="E133" s="238"/>
      <c r="F133" s="238"/>
      <c r="G133" s="238"/>
      <c r="H133" s="238"/>
      <c r="I133" s="218" t="s">
        <v>210</v>
      </c>
      <c r="J133" s="213"/>
      <c r="K133" s="219">
        <f t="shared" si="6"/>
        <v>794.04149760000007</v>
      </c>
      <c r="L133" s="213"/>
      <c r="M133" s="219">
        <f t="shared" si="7"/>
        <v>1588.0829952000001</v>
      </c>
      <c r="N133" s="213"/>
      <c r="O133" s="219">
        <f t="shared" si="8"/>
        <v>1588.0829952000001</v>
      </c>
      <c r="P133" s="222"/>
      <c r="Q133" s="219">
        <f t="shared" si="9"/>
        <v>3176.1659904000003</v>
      </c>
      <c r="R133" s="216"/>
      <c r="S133" s="216"/>
      <c r="T133" s="216"/>
    </row>
    <row r="134" spans="1:21" s="221" customFormat="1" ht="14.25" hidden="1" customHeight="1" x14ac:dyDescent="0.35">
      <c r="A134" s="216"/>
      <c r="B134" s="216"/>
      <c r="C134" s="238"/>
      <c r="D134" s="238"/>
      <c r="E134" s="238"/>
      <c r="F134" s="238"/>
      <c r="G134" s="238"/>
      <c r="H134" s="238"/>
      <c r="I134" s="218" t="s">
        <v>212</v>
      </c>
      <c r="J134" s="213"/>
      <c r="K134" s="219">
        <f t="shared" si="6"/>
        <v>825.80315750400007</v>
      </c>
      <c r="L134" s="213"/>
      <c r="M134" s="219">
        <f t="shared" si="7"/>
        <v>1651.6063150080001</v>
      </c>
      <c r="N134" s="213"/>
      <c r="O134" s="219">
        <f t="shared" si="8"/>
        <v>1651.6063150080001</v>
      </c>
      <c r="P134" s="222"/>
      <c r="Q134" s="219">
        <f t="shared" si="9"/>
        <v>3303.2126300160003</v>
      </c>
      <c r="R134" s="216"/>
      <c r="S134" s="216"/>
      <c r="T134" s="216"/>
    </row>
    <row r="135" spans="1:21" s="221" customFormat="1" ht="14.25" hidden="1" customHeight="1" x14ac:dyDescent="0.35">
      <c r="A135" s="216"/>
      <c r="B135" s="216"/>
      <c r="C135" s="238"/>
      <c r="D135" s="238"/>
      <c r="E135" s="238"/>
      <c r="F135" s="238"/>
      <c r="G135" s="238"/>
      <c r="H135" s="238"/>
      <c r="I135" s="218" t="s">
        <v>267</v>
      </c>
      <c r="J135" s="213"/>
      <c r="K135" s="219">
        <f t="shared" si="6"/>
        <v>858.8352838041601</v>
      </c>
      <c r="L135" s="213"/>
      <c r="M135" s="219">
        <f t="shared" si="7"/>
        <v>1717.6705676083202</v>
      </c>
      <c r="N135" s="213"/>
      <c r="O135" s="219">
        <f t="shared" si="8"/>
        <v>1717.6705676083202</v>
      </c>
      <c r="P135" s="222"/>
      <c r="Q135" s="219">
        <f t="shared" si="9"/>
        <v>3435.3411352166404</v>
      </c>
      <c r="R135" s="216"/>
      <c r="S135" s="216"/>
      <c r="T135" s="216"/>
    </row>
    <row r="136" spans="1:21" s="221" customFormat="1" ht="14.25" hidden="1" customHeight="1" x14ac:dyDescent="0.35">
      <c r="A136" s="216"/>
      <c r="B136" s="216"/>
      <c r="C136" s="238"/>
      <c r="D136" s="238"/>
      <c r="E136" s="238"/>
      <c r="F136" s="238"/>
      <c r="G136" s="238"/>
      <c r="H136" s="238"/>
      <c r="I136" s="218" t="s">
        <v>405</v>
      </c>
      <c r="J136" s="213"/>
      <c r="K136" s="219">
        <f t="shared" si="6"/>
        <v>893.1886951563265</v>
      </c>
      <c r="L136" s="213"/>
      <c r="M136" s="219">
        <f>M135*$S$108</f>
        <v>1786.377390312653</v>
      </c>
      <c r="N136" s="213"/>
      <c r="O136" s="219">
        <f t="shared" si="8"/>
        <v>1786.377390312653</v>
      </c>
      <c r="P136" s="222"/>
      <c r="Q136" s="219">
        <f t="shared" si="9"/>
        <v>3572.754780625306</v>
      </c>
      <c r="R136" s="216"/>
      <c r="S136" s="216"/>
      <c r="T136" s="216"/>
    </row>
    <row r="137" spans="1:21" s="221" customFormat="1" ht="14.25" hidden="1" customHeight="1" x14ac:dyDescent="0.35">
      <c r="A137" s="216"/>
      <c r="B137" s="216"/>
      <c r="C137" s="238"/>
      <c r="D137" s="238"/>
      <c r="E137" s="238"/>
      <c r="F137" s="238"/>
      <c r="G137" s="238"/>
      <c r="H137" s="238"/>
      <c r="I137" s="213"/>
      <c r="J137" s="213"/>
      <c r="K137" s="214"/>
      <c r="L137" s="213"/>
      <c r="M137" s="214"/>
      <c r="N137" s="213"/>
      <c r="O137" s="214"/>
      <c r="P137" s="213"/>
      <c r="Q137" s="214"/>
      <c r="R137" s="216"/>
      <c r="S137" s="216"/>
      <c r="T137" s="216"/>
    </row>
    <row r="138" spans="1:21" s="221" customFormat="1" ht="14.25" hidden="1" customHeight="1" x14ac:dyDescent="0.35">
      <c r="A138" s="216"/>
      <c r="B138" s="216"/>
      <c r="C138" s="238"/>
      <c r="D138" s="238"/>
      <c r="E138" s="238"/>
      <c r="F138" s="238"/>
      <c r="G138" s="238"/>
      <c r="H138" s="238"/>
      <c r="I138" s="253" t="s">
        <v>268</v>
      </c>
      <c r="J138" s="253"/>
      <c r="K138" s="253"/>
      <c r="L138" s="253"/>
      <c r="M138" s="253"/>
      <c r="N138" s="253"/>
      <c r="O138" s="253"/>
      <c r="P138" s="253"/>
      <c r="Q138" s="253"/>
      <c r="R138" s="216"/>
      <c r="S138" s="216"/>
      <c r="T138" s="216"/>
    </row>
    <row r="139" spans="1:21" s="221" customFormat="1" ht="14.25" hidden="1" customHeight="1" x14ac:dyDescent="0.35">
      <c r="A139" s="216"/>
      <c r="B139" s="216"/>
      <c r="C139" s="238"/>
      <c r="D139" s="238"/>
      <c r="E139" s="238"/>
      <c r="F139" s="238"/>
      <c r="G139" s="238"/>
      <c r="H139" s="238"/>
      <c r="I139" s="220"/>
      <c r="J139" s="213"/>
      <c r="K139" s="214" t="s">
        <v>139</v>
      </c>
      <c r="L139" s="213"/>
      <c r="M139" s="214" t="s">
        <v>140</v>
      </c>
      <c r="N139" s="213"/>
      <c r="O139" s="214" t="s">
        <v>141</v>
      </c>
      <c r="P139" s="213"/>
      <c r="Q139" s="214" t="s">
        <v>142</v>
      </c>
      <c r="R139" s="216"/>
      <c r="S139" s="216"/>
      <c r="T139" s="216"/>
    </row>
    <row r="140" spans="1:21" s="221" customFormat="1" ht="14.25" hidden="1" customHeight="1" x14ac:dyDescent="0.35">
      <c r="A140" s="216"/>
      <c r="B140" s="216"/>
      <c r="C140" s="238"/>
      <c r="D140" s="238"/>
      <c r="E140" s="238"/>
      <c r="F140" s="238"/>
      <c r="G140" s="238"/>
      <c r="H140" s="238"/>
      <c r="I140" s="218"/>
      <c r="J140" s="213"/>
      <c r="K140" s="220"/>
      <c r="L140" s="220"/>
      <c r="M140" s="214"/>
      <c r="N140" s="213"/>
      <c r="O140" s="214"/>
      <c r="P140" s="213"/>
      <c r="Q140" s="214"/>
      <c r="R140" s="216"/>
      <c r="S140" s="216"/>
      <c r="T140" s="216"/>
      <c r="U140" s="220"/>
    </row>
    <row r="141" spans="1:21" s="221" customFormat="1" ht="14.25" hidden="1" customHeight="1" x14ac:dyDescent="0.35">
      <c r="A141" s="216"/>
      <c r="B141" s="216"/>
      <c r="C141" s="238"/>
      <c r="D141" s="238"/>
      <c r="E141" s="238"/>
      <c r="F141" s="238"/>
      <c r="G141" s="238"/>
      <c r="H141" s="238"/>
      <c r="I141" s="218" t="s">
        <v>190</v>
      </c>
      <c r="J141" s="220"/>
      <c r="K141" s="399">
        <f>$Q$141/4</f>
        <v>1561.75</v>
      </c>
      <c r="L141" s="213"/>
      <c r="M141" s="399">
        <f>$O$141</f>
        <v>3123.5</v>
      </c>
      <c r="N141" s="213"/>
      <c r="O141" s="399">
        <f>$Q$141/2</f>
        <v>3123.5</v>
      </c>
      <c r="P141" s="213"/>
      <c r="Q141" s="399">
        <v>6247</v>
      </c>
      <c r="R141" s="216"/>
      <c r="S141" s="216"/>
      <c r="T141" s="216"/>
      <c r="U141" s="220"/>
    </row>
    <row r="142" spans="1:21" s="221" customFormat="1" ht="14.25" hidden="1" customHeight="1" x14ac:dyDescent="0.35">
      <c r="A142" s="216"/>
      <c r="B142" s="216"/>
      <c r="C142" s="238"/>
      <c r="D142" s="238"/>
      <c r="E142" s="238"/>
      <c r="F142" s="238"/>
      <c r="G142" s="238"/>
      <c r="H142" s="238"/>
      <c r="I142" s="218" t="s">
        <v>198</v>
      </c>
      <c r="J142" s="220"/>
      <c r="K142" s="219">
        <f>K141*$S$108</f>
        <v>1624.22</v>
      </c>
      <c r="L142" s="213"/>
      <c r="M142" s="219">
        <f>M141*$S$108</f>
        <v>3248.44</v>
      </c>
      <c r="N142" s="213"/>
      <c r="O142" s="219">
        <f>O141*$S$108</f>
        <v>3248.44</v>
      </c>
      <c r="P142" s="213"/>
      <c r="Q142" s="219">
        <f t="shared" ref="Q142:Q148" si="10">Q141*$S$108</f>
        <v>6496.88</v>
      </c>
      <c r="R142" s="216"/>
      <c r="S142" s="216"/>
      <c r="T142" s="216"/>
    </row>
    <row r="143" spans="1:21" s="221" customFormat="1" ht="14.25" hidden="1" customHeight="1" x14ac:dyDescent="0.35">
      <c r="A143" s="216"/>
      <c r="B143" s="216"/>
      <c r="C143" s="216"/>
      <c r="D143" s="216"/>
      <c r="E143" s="216"/>
      <c r="F143" s="216"/>
      <c r="G143" s="216"/>
      <c r="H143" s="216"/>
      <c r="I143" s="218" t="s">
        <v>199</v>
      </c>
      <c r="J143" s="220"/>
      <c r="K143" s="219">
        <f t="shared" ref="K143:K148" si="11">K142*$S$108</f>
        <v>1689.1888000000001</v>
      </c>
      <c r="L143" s="213"/>
      <c r="M143" s="219">
        <f t="shared" ref="M143:M148" si="12">M142*$S$108</f>
        <v>3378.3776000000003</v>
      </c>
      <c r="N143" s="213"/>
      <c r="O143" s="219">
        <f t="shared" ref="O143:O148" si="13">O142*$S$108</f>
        <v>3378.3776000000003</v>
      </c>
      <c r="P143" s="213"/>
      <c r="Q143" s="219">
        <f t="shared" si="10"/>
        <v>6756.7552000000005</v>
      </c>
      <c r="R143" s="216"/>
      <c r="S143" s="216"/>
      <c r="T143" s="216"/>
    </row>
    <row r="144" spans="1:21" s="221" customFormat="1" ht="14.25" hidden="1" customHeight="1" x14ac:dyDescent="0.35">
      <c r="A144" s="216"/>
      <c r="B144" s="216"/>
      <c r="C144" s="216"/>
      <c r="D144" s="216"/>
      <c r="E144" s="216"/>
      <c r="F144" s="216"/>
      <c r="G144" s="216"/>
      <c r="H144" s="216"/>
      <c r="I144" s="218" t="s">
        <v>205</v>
      </c>
      <c r="J144" s="220"/>
      <c r="K144" s="219">
        <f t="shared" si="11"/>
        <v>1756.7563520000001</v>
      </c>
      <c r="L144" s="213"/>
      <c r="M144" s="219">
        <f t="shared" si="12"/>
        <v>3513.5127040000002</v>
      </c>
      <c r="N144" s="213"/>
      <c r="O144" s="219">
        <f t="shared" si="13"/>
        <v>3513.5127040000002</v>
      </c>
      <c r="P144" s="213"/>
      <c r="Q144" s="219">
        <f t="shared" si="10"/>
        <v>7027.0254080000004</v>
      </c>
      <c r="R144" s="216"/>
      <c r="S144" s="216"/>
      <c r="T144" s="216"/>
    </row>
    <row r="145" spans="1:20" s="221" customFormat="1" ht="14.25" hidden="1" customHeight="1" x14ac:dyDescent="0.35">
      <c r="A145" s="216"/>
      <c r="B145" s="216"/>
      <c r="C145" s="216"/>
      <c r="D145" s="216"/>
      <c r="E145" s="216"/>
      <c r="F145" s="216"/>
      <c r="G145" s="216"/>
      <c r="H145" s="216"/>
      <c r="I145" s="218" t="s">
        <v>208</v>
      </c>
      <c r="J145" s="220"/>
      <c r="K145" s="219">
        <f t="shared" si="11"/>
        <v>1827.0266060800002</v>
      </c>
      <c r="L145" s="213"/>
      <c r="M145" s="219">
        <f t="shared" si="12"/>
        <v>3654.0532121600004</v>
      </c>
      <c r="N145" s="213"/>
      <c r="O145" s="219">
        <f t="shared" si="13"/>
        <v>3654.0532121600004</v>
      </c>
      <c r="P145" s="213"/>
      <c r="Q145" s="219">
        <f t="shared" si="10"/>
        <v>7308.1064243200008</v>
      </c>
      <c r="R145" s="216"/>
      <c r="S145" s="216"/>
      <c r="T145" s="216"/>
    </row>
    <row r="146" spans="1:20" s="221" customFormat="1" ht="14.25" hidden="1" customHeight="1" x14ac:dyDescent="0.35">
      <c r="A146" s="216"/>
      <c r="B146" s="216"/>
      <c r="C146" s="216"/>
      <c r="D146" s="216"/>
      <c r="E146" s="216"/>
      <c r="F146" s="216"/>
      <c r="G146" s="216"/>
      <c r="H146" s="216"/>
      <c r="I146" s="218" t="s">
        <v>211</v>
      </c>
      <c r="J146" s="220"/>
      <c r="K146" s="219">
        <f t="shared" si="11"/>
        <v>1900.1076703232002</v>
      </c>
      <c r="L146" s="213"/>
      <c r="M146" s="219">
        <f t="shared" si="12"/>
        <v>3800.2153406464004</v>
      </c>
      <c r="N146" s="213"/>
      <c r="O146" s="219">
        <f t="shared" si="13"/>
        <v>3800.2153406464004</v>
      </c>
      <c r="P146" s="213"/>
      <c r="Q146" s="219">
        <f t="shared" si="10"/>
        <v>7600.4306812928007</v>
      </c>
      <c r="R146" s="216"/>
      <c r="S146" s="216"/>
      <c r="T146" s="216"/>
    </row>
    <row r="147" spans="1:20" s="221" customFormat="1" ht="14.25" hidden="1" customHeight="1" x14ac:dyDescent="0.35">
      <c r="A147" s="216"/>
      <c r="B147" s="216"/>
      <c r="C147" s="216"/>
      <c r="D147" s="216"/>
      <c r="E147" s="216"/>
      <c r="F147" s="216"/>
      <c r="G147" s="216"/>
      <c r="H147" s="216"/>
      <c r="I147" s="218" t="s">
        <v>264</v>
      </c>
      <c r="J147" s="220"/>
      <c r="K147" s="219">
        <f>K146*$S$108</f>
        <v>1976.1119771361282</v>
      </c>
      <c r="L147" s="213"/>
      <c r="M147" s="219">
        <f t="shared" si="12"/>
        <v>3952.2239542722564</v>
      </c>
      <c r="N147" s="213"/>
      <c r="O147" s="219">
        <f t="shared" si="13"/>
        <v>3952.2239542722564</v>
      </c>
      <c r="P147" s="213"/>
      <c r="Q147" s="219">
        <f t="shared" si="10"/>
        <v>7904.4479085445128</v>
      </c>
      <c r="R147" s="216"/>
      <c r="S147" s="216"/>
      <c r="T147" s="216"/>
    </row>
    <row r="148" spans="1:20" s="221" customFormat="1" ht="14.25" hidden="1" customHeight="1" x14ac:dyDescent="0.35">
      <c r="A148" s="216"/>
      <c r="B148" s="216"/>
      <c r="C148" s="216"/>
      <c r="D148" s="216"/>
      <c r="E148" s="216"/>
      <c r="F148" s="216"/>
      <c r="G148" s="216"/>
      <c r="H148" s="216"/>
      <c r="I148" s="218" t="s">
        <v>403</v>
      </c>
      <c r="J148" s="220"/>
      <c r="K148" s="219">
        <f t="shared" si="11"/>
        <v>2055.1564562215735</v>
      </c>
      <c r="L148" s="213"/>
      <c r="M148" s="219">
        <f t="shared" si="12"/>
        <v>4110.3129124431471</v>
      </c>
      <c r="N148" s="213"/>
      <c r="O148" s="219">
        <f t="shared" si="13"/>
        <v>4110.3129124431471</v>
      </c>
      <c r="P148" s="213"/>
      <c r="Q148" s="219">
        <f t="shared" si="10"/>
        <v>8220.6258248862941</v>
      </c>
      <c r="R148" s="216"/>
      <c r="S148" s="216"/>
      <c r="T148" s="216"/>
    </row>
    <row r="149" spans="1:20" s="221" customFormat="1" ht="14.25" hidden="1" customHeight="1" x14ac:dyDescent="0.35">
      <c r="A149" s="216"/>
      <c r="B149" s="216"/>
      <c r="C149" s="216"/>
      <c r="D149" s="216"/>
      <c r="E149" s="216"/>
      <c r="F149" s="216"/>
      <c r="G149" s="216"/>
      <c r="H149" s="216"/>
      <c r="I149" s="218"/>
      <c r="J149" s="220"/>
      <c r="K149" s="219">
        <v>0</v>
      </c>
      <c r="L149" s="220"/>
      <c r="M149" s="214"/>
      <c r="N149" s="213"/>
      <c r="O149" s="219">
        <v>0</v>
      </c>
      <c r="P149" s="213"/>
      <c r="Q149" s="214"/>
      <c r="R149" s="216"/>
      <c r="S149" s="216"/>
      <c r="T149" s="216"/>
    </row>
    <row r="150" spans="1:20" s="221" customFormat="1" ht="14.25" hidden="1" customHeight="1" x14ac:dyDescent="0.35">
      <c r="A150" s="216"/>
      <c r="B150" s="216"/>
      <c r="C150" s="216"/>
      <c r="D150" s="216"/>
      <c r="E150" s="216"/>
      <c r="F150" s="216"/>
      <c r="G150" s="216"/>
      <c r="H150" s="216"/>
      <c r="I150" s="218" t="s">
        <v>200</v>
      </c>
      <c r="J150" s="220"/>
      <c r="K150" s="400">
        <f>$Q$150/4</f>
        <v>1561.75</v>
      </c>
      <c r="L150" s="217"/>
      <c r="M150" s="400">
        <f>$O$150</f>
        <v>3123.5</v>
      </c>
      <c r="N150" s="217"/>
      <c r="O150" s="400">
        <f>$Q$150/2</f>
        <v>3123.5</v>
      </c>
      <c r="P150" s="217"/>
      <c r="Q150" s="400">
        <v>6247</v>
      </c>
      <c r="R150" s="216"/>
      <c r="S150" s="216"/>
      <c r="T150" s="216"/>
    </row>
    <row r="151" spans="1:20" s="221" customFormat="1" ht="14.25" hidden="1" customHeight="1" x14ac:dyDescent="0.35">
      <c r="A151" s="216"/>
      <c r="B151" s="216"/>
      <c r="C151" s="216"/>
      <c r="D151" s="216"/>
      <c r="E151" s="216"/>
      <c r="F151" s="216"/>
      <c r="G151" s="216"/>
      <c r="H151" s="216"/>
      <c r="I151" s="218" t="s">
        <v>201</v>
      </c>
      <c r="J151" s="220"/>
      <c r="K151" s="219">
        <f>$M$151/2</f>
        <v>1624.22</v>
      </c>
      <c r="L151" s="217"/>
      <c r="M151" s="219">
        <f>O151</f>
        <v>3248.44</v>
      </c>
      <c r="N151" s="217"/>
      <c r="O151" s="219">
        <f>Q151/2</f>
        <v>3248.44</v>
      </c>
      <c r="P151" s="217"/>
      <c r="Q151" s="219">
        <f>$Q$150*$S$108</f>
        <v>6496.88</v>
      </c>
      <c r="R151" s="216"/>
      <c r="S151" s="216"/>
      <c r="T151" s="216"/>
    </row>
    <row r="152" spans="1:20" s="221" customFormat="1" ht="14.25" hidden="1" customHeight="1" x14ac:dyDescent="0.35">
      <c r="A152" s="216"/>
      <c r="B152" s="216"/>
      <c r="C152" s="216"/>
      <c r="D152" s="216"/>
      <c r="E152" s="216"/>
      <c r="F152" s="216"/>
      <c r="G152" s="216"/>
      <c r="H152" s="216"/>
      <c r="I152" s="218" t="s">
        <v>204</v>
      </c>
      <c r="J152" s="220"/>
      <c r="K152" s="219">
        <f t="shared" ref="K152:K157" si="14">K151*$S$108</f>
        <v>1689.1888000000001</v>
      </c>
      <c r="L152" s="217"/>
      <c r="M152" s="219">
        <f t="shared" ref="M152:M157" si="15">M151*$S$108</f>
        <v>3378.3776000000003</v>
      </c>
      <c r="N152" s="217"/>
      <c r="O152" s="219">
        <f>O151*$S$108</f>
        <v>3378.3776000000003</v>
      </c>
      <c r="P152" s="217"/>
      <c r="Q152" s="219">
        <f>$Q$151*$S$108</f>
        <v>6756.7552000000005</v>
      </c>
      <c r="R152" s="216"/>
      <c r="S152" s="216"/>
      <c r="T152" s="216"/>
    </row>
    <row r="153" spans="1:20" s="221" customFormat="1" ht="14.25" hidden="1" customHeight="1" x14ac:dyDescent="0.35">
      <c r="A153" s="216"/>
      <c r="B153" s="216"/>
      <c r="C153" s="216"/>
      <c r="D153" s="216"/>
      <c r="E153" s="216"/>
      <c r="F153" s="216"/>
      <c r="G153" s="216"/>
      <c r="H153" s="216"/>
      <c r="I153" s="218" t="s">
        <v>207</v>
      </c>
      <c r="J153" s="220"/>
      <c r="K153" s="219">
        <f t="shared" si="14"/>
        <v>1756.7563520000001</v>
      </c>
      <c r="L153" s="217"/>
      <c r="M153" s="219">
        <f t="shared" si="15"/>
        <v>3513.5127040000002</v>
      </c>
      <c r="N153" s="217"/>
      <c r="O153" s="219">
        <f>O152*$S$108</f>
        <v>3513.5127040000002</v>
      </c>
      <c r="P153" s="217"/>
      <c r="Q153" s="219">
        <f>$Q$152*$S$108</f>
        <v>7027.0254080000004</v>
      </c>
      <c r="R153" s="216"/>
      <c r="S153" s="216"/>
      <c r="T153" s="216"/>
    </row>
    <row r="154" spans="1:20" s="221" customFormat="1" ht="14.25" hidden="1" customHeight="1" x14ac:dyDescent="0.35">
      <c r="A154" s="216"/>
      <c r="B154" s="216"/>
      <c r="C154" s="216"/>
      <c r="D154" s="216"/>
      <c r="E154" s="216"/>
      <c r="F154" s="216"/>
      <c r="G154" s="216"/>
      <c r="H154" s="216"/>
      <c r="I154" s="218" t="s">
        <v>209</v>
      </c>
      <c r="J154" s="220"/>
      <c r="K154" s="219">
        <f t="shared" si="14"/>
        <v>1827.0266060800002</v>
      </c>
      <c r="L154" s="217"/>
      <c r="M154" s="219">
        <f t="shared" si="15"/>
        <v>3654.0532121600004</v>
      </c>
      <c r="N154" s="217"/>
      <c r="O154" s="219">
        <f>O153*$S$108</f>
        <v>3654.0532121600004</v>
      </c>
      <c r="P154" s="217"/>
      <c r="Q154" s="219">
        <f>$Q$153*$S$108</f>
        <v>7308.1064243200008</v>
      </c>
      <c r="R154" s="216"/>
      <c r="S154" s="216"/>
      <c r="T154" s="216"/>
    </row>
    <row r="155" spans="1:20" s="221" customFormat="1" ht="14.25" hidden="1" customHeight="1" x14ac:dyDescent="0.35">
      <c r="A155" s="216"/>
      <c r="B155" s="216"/>
      <c r="C155" s="216"/>
      <c r="D155" s="216"/>
      <c r="E155" s="216"/>
      <c r="F155" s="216"/>
      <c r="G155" s="216"/>
      <c r="H155" s="216"/>
      <c r="I155" s="218" t="s">
        <v>265</v>
      </c>
      <c r="J155" s="220"/>
      <c r="K155" s="219">
        <f t="shared" si="14"/>
        <v>1900.1076703232002</v>
      </c>
      <c r="L155" s="217"/>
      <c r="M155" s="219">
        <f t="shared" si="15"/>
        <v>3800.2153406464004</v>
      </c>
      <c r="N155" s="217"/>
      <c r="O155" s="219">
        <f>O154*$S$108</f>
        <v>3800.2153406464004</v>
      </c>
      <c r="P155" s="217"/>
      <c r="Q155" s="219">
        <f>$Q$154*$S$108</f>
        <v>7600.4306812928007</v>
      </c>
      <c r="R155" s="216"/>
      <c r="S155" s="216"/>
      <c r="T155" s="216"/>
    </row>
    <row r="156" spans="1:20" s="221" customFormat="1" ht="14.25" hidden="1" customHeight="1" x14ac:dyDescent="0.35">
      <c r="A156" s="216"/>
      <c r="B156" s="216"/>
      <c r="C156" s="216"/>
      <c r="D156" s="216"/>
      <c r="E156" s="216"/>
      <c r="F156" s="216"/>
      <c r="G156" s="216"/>
      <c r="H156" s="216"/>
      <c r="I156" s="218" t="s">
        <v>266</v>
      </c>
      <c r="J156" s="220"/>
      <c r="K156" s="219">
        <f t="shared" si="14"/>
        <v>1976.1119771361282</v>
      </c>
      <c r="L156" s="217"/>
      <c r="M156" s="219">
        <f t="shared" si="15"/>
        <v>3952.2239542722564</v>
      </c>
      <c r="N156" s="217"/>
      <c r="O156" s="219">
        <f>O155*$S$108</f>
        <v>3952.2239542722564</v>
      </c>
      <c r="P156" s="217"/>
      <c r="Q156" s="219">
        <f>$Q$155*$S$108</f>
        <v>7904.4479085445128</v>
      </c>
      <c r="R156" s="216"/>
      <c r="S156" s="216"/>
      <c r="T156" s="216"/>
    </row>
    <row r="157" spans="1:20" s="221" customFormat="1" ht="14.25" hidden="1" customHeight="1" x14ac:dyDescent="0.35">
      <c r="A157" s="216"/>
      <c r="B157" s="216"/>
      <c r="C157" s="216"/>
      <c r="D157" s="216"/>
      <c r="E157" s="216"/>
      <c r="F157" s="216"/>
      <c r="G157" s="216"/>
      <c r="H157" s="216"/>
      <c r="I157" s="218" t="s">
        <v>404</v>
      </c>
      <c r="J157" s="220"/>
      <c r="K157" s="219">
        <f t="shared" si="14"/>
        <v>2055.1564562215735</v>
      </c>
      <c r="L157" s="217"/>
      <c r="M157" s="219">
        <f t="shared" si="15"/>
        <v>4110.3129124431471</v>
      </c>
      <c r="N157" s="217"/>
      <c r="O157" s="219">
        <f>$O$156*$S$108</f>
        <v>4110.3129124431471</v>
      </c>
      <c r="P157" s="217"/>
      <c r="Q157" s="219">
        <f>$Q$156*$S$108</f>
        <v>8220.6258248862941</v>
      </c>
      <c r="R157" s="216"/>
      <c r="S157" s="216"/>
      <c r="T157" s="216"/>
    </row>
    <row r="158" spans="1:20" s="221" customFormat="1" ht="14.25" hidden="1" customHeight="1" x14ac:dyDescent="0.35">
      <c r="A158" s="216"/>
      <c r="B158" s="216"/>
      <c r="C158" s="216"/>
      <c r="D158" s="216"/>
      <c r="E158" s="216"/>
      <c r="F158" s="216"/>
      <c r="G158" s="216"/>
      <c r="H158" s="216"/>
      <c r="I158" s="218"/>
      <c r="J158" s="220"/>
      <c r="K158" s="219">
        <v>0</v>
      </c>
      <c r="L158" s="220"/>
      <c r="M158" s="214"/>
      <c r="N158" s="213"/>
      <c r="O158" s="219">
        <v>0</v>
      </c>
      <c r="P158" s="213"/>
      <c r="Q158" s="214"/>
      <c r="R158" s="216"/>
      <c r="S158" s="216"/>
      <c r="T158" s="216"/>
    </row>
    <row r="159" spans="1:20" s="221" customFormat="1" ht="14.25" hidden="1" customHeight="1" x14ac:dyDescent="0.35">
      <c r="A159" s="216"/>
      <c r="B159" s="216"/>
      <c r="C159" s="216"/>
      <c r="D159" s="216"/>
      <c r="E159" s="216"/>
      <c r="F159" s="216"/>
      <c r="G159" s="216"/>
      <c r="H159" s="216"/>
      <c r="I159" s="218" t="s">
        <v>191</v>
      </c>
      <c r="J159" s="220"/>
      <c r="K159" s="401">
        <f>$Q$159/4</f>
        <v>868.75</v>
      </c>
      <c r="L159" s="213"/>
      <c r="M159" s="401">
        <f>$Q$159/2</f>
        <v>1737.5</v>
      </c>
      <c r="N159" s="213"/>
      <c r="O159" s="401">
        <f>$Q$159/2</f>
        <v>1737.5</v>
      </c>
      <c r="P159" s="222"/>
      <c r="Q159" s="401">
        <v>3475</v>
      </c>
      <c r="R159" s="216"/>
      <c r="S159" s="216"/>
      <c r="T159" s="216"/>
    </row>
    <row r="160" spans="1:20" s="221" customFormat="1" ht="14.25" hidden="1" customHeight="1" x14ac:dyDescent="0.35">
      <c r="A160" s="216"/>
      <c r="B160" s="216"/>
      <c r="C160" s="216"/>
      <c r="D160" s="216"/>
      <c r="E160" s="216"/>
      <c r="F160" s="216"/>
      <c r="G160" s="216"/>
      <c r="H160" s="216"/>
      <c r="I160" s="218" t="s">
        <v>202</v>
      </c>
      <c r="J160" s="220"/>
      <c r="K160" s="219">
        <f>K159*$S$108</f>
        <v>903.5</v>
      </c>
      <c r="L160" s="213"/>
      <c r="M160" s="219">
        <f>M159*$S$108</f>
        <v>1807</v>
      </c>
      <c r="N160" s="213"/>
      <c r="O160" s="219">
        <f>O159*$S$108</f>
        <v>1807</v>
      </c>
      <c r="P160" s="222"/>
      <c r="Q160" s="219">
        <f>Q159*$S$108</f>
        <v>3614</v>
      </c>
      <c r="R160" s="216"/>
      <c r="S160" s="216"/>
      <c r="T160" s="216"/>
    </row>
    <row r="161" spans="1:20" s="221" customFormat="1" ht="14.25" hidden="1" customHeight="1" x14ac:dyDescent="0.35">
      <c r="A161" s="216"/>
      <c r="B161" s="216"/>
      <c r="C161" s="216"/>
      <c r="D161" s="216"/>
      <c r="E161" s="216"/>
      <c r="F161" s="216"/>
      <c r="G161" s="216"/>
      <c r="H161" s="216"/>
      <c r="I161" s="218" t="s">
        <v>203</v>
      </c>
      <c r="J161" s="220"/>
      <c r="K161" s="219">
        <f t="shared" ref="K161:K166" si="16">K160*$S$108</f>
        <v>939.64</v>
      </c>
      <c r="L161" s="213"/>
      <c r="M161" s="219">
        <f t="shared" ref="M161:M166" si="17">M160*$S$108</f>
        <v>1879.28</v>
      </c>
      <c r="N161" s="213"/>
      <c r="O161" s="219">
        <f t="shared" ref="O161:O166" si="18">O160*$S$108</f>
        <v>1879.28</v>
      </c>
      <c r="P161" s="222"/>
      <c r="Q161" s="219">
        <f t="shared" ref="Q161:Q166" si="19">Q160*$S$108</f>
        <v>3758.56</v>
      </c>
      <c r="R161" s="216"/>
      <c r="S161" s="216"/>
      <c r="T161" s="216"/>
    </row>
    <row r="162" spans="1:20" s="221" customFormat="1" ht="14.25" hidden="1" customHeight="1" x14ac:dyDescent="0.35">
      <c r="A162" s="216"/>
      <c r="B162" s="216"/>
      <c r="C162" s="216"/>
      <c r="D162" s="216"/>
      <c r="E162" s="216"/>
      <c r="F162" s="216"/>
      <c r="G162" s="216"/>
      <c r="H162" s="216"/>
      <c r="I162" s="218" t="s">
        <v>206</v>
      </c>
      <c r="J162" s="220"/>
      <c r="K162" s="219">
        <f t="shared" si="16"/>
        <v>977.22559999999999</v>
      </c>
      <c r="L162" s="213"/>
      <c r="M162" s="219">
        <f t="shared" si="17"/>
        <v>1954.4512</v>
      </c>
      <c r="N162" s="213"/>
      <c r="O162" s="219">
        <f t="shared" si="18"/>
        <v>1954.4512</v>
      </c>
      <c r="P162" s="222"/>
      <c r="Q162" s="219">
        <f t="shared" si="19"/>
        <v>3908.9023999999999</v>
      </c>
      <c r="R162" s="216"/>
      <c r="S162" s="216"/>
      <c r="T162" s="216"/>
    </row>
    <row r="163" spans="1:20" s="221" customFormat="1" ht="14.25" hidden="1" customHeight="1" x14ac:dyDescent="0.35">
      <c r="A163" s="216"/>
      <c r="B163" s="216"/>
      <c r="C163" s="216"/>
      <c r="D163" s="216"/>
      <c r="E163" s="216"/>
      <c r="F163" s="216"/>
      <c r="G163" s="216"/>
      <c r="H163" s="216"/>
      <c r="I163" s="218" t="s">
        <v>210</v>
      </c>
      <c r="J163" s="220"/>
      <c r="K163" s="219">
        <f t="shared" si="16"/>
        <v>1016.314624</v>
      </c>
      <c r="L163" s="213"/>
      <c r="M163" s="219">
        <f t="shared" si="17"/>
        <v>2032.629248</v>
      </c>
      <c r="N163" s="213"/>
      <c r="O163" s="219">
        <f t="shared" si="18"/>
        <v>2032.629248</v>
      </c>
      <c r="P163" s="222"/>
      <c r="Q163" s="219">
        <f t="shared" si="19"/>
        <v>4065.2584959999999</v>
      </c>
      <c r="R163" s="216"/>
      <c r="S163" s="216"/>
      <c r="T163" s="216"/>
    </row>
    <row r="164" spans="1:20" s="221" customFormat="1" ht="14.25" hidden="1" customHeight="1" x14ac:dyDescent="0.35">
      <c r="A164" s="216"/>
      <c r="B164" s="216"/>
      <c r="C164" s="216"/>
      <c r="D164" s="216"/>
      <c r="E164" s="216"/>
      <c r="F164" s="216"/>
      <c r="G164" s="216"/>
      <c r="H164" s="216"/>
      <c r="I164" s="218" t="s">
        <v>212</v>
      </c>
      <c r="J164" s="220"/>
      <c r="K164" s="219">
        <f t="shared" si="16"/>
        <v>1056.9672089600001</v>
      </c>
      <c r="L164" s="213"/>
      <c r="M164" s="219">
        <f t="shared" si="17"/>
        <v>2113.9344179200002</v>
      </c>
      <c r="N164" s="213"/>
      <c r="O164" s="219">
        <f t="shared" si="18"/>
        <v>2113.9344179200002</v>
      </c>
      <c r="P164" s="222"/>
      <c r="Q164" s="219">
        <f t="shared" si="19"/>
        <v>4227.8688358400004</v>
      </c>
      <c r="R164" s="216"/>
      <c r="S164" s="216"/>
      <c r="T164" s="216"/>
    </row>
    <row r="165" spans="1:20" s="221" customFormat="1" ht="14.25" hidden="1" customHeight="1" x14ac:dyDescent="0.35">
      <c r="A165" s="216"/>
      <c r="B165" s="216"/>
      <c r="C165" s="216"/>
      <c r="D165" s="216"/>
      <c r="E165" s="216"/>
      <c r="F165" s="216"/>
      <c r="G165" s="216"/>
      <c r="H165" s="216"/>
      <c r="I165" s="218" t="s">
        <v>267</v>
      </c>
      <c r="J165" s="220"/>
      <c r="K165" s="219">
        <f t="shared" si="16"/>
        <v>1099.2458973184002</v>
      </c>
      <c r="L165" s="213"/>
      <c r="M165" s="219">
        <f t="shared" si="17"/>
        <v>2198.4917946368005</v>
      </c>
      <c r="N165" s="213"/>
      <c r="O165" s="219">
        <f t="shared" si="18"/>
        <v>2198.4917946368005</v>
      </c>
      <c r="P165" s="222"/>
      <c r="Q165" s="219">
        <f t="shared" si="19"/>
        <v>4396.983589273601</v>
      </c>
      <c r="R165" s="216"/>
      <c r="S165" s="216"/>
      <c r="T165" s="216"/>
    </row>
    <row r="166" spans="1:20" s="221" customFormat="1" ht="14.25" hidden="1" customHeight="1" x14ac:dyDescent="0.35">
      <c r="A166" s="216"/>
      <c r="B166" s="216"/>
      <c r="C166" s="216"/>
      <c r="D166" s="216"/>
      <c r="E166" s="216"/>
      <c r="F166" s="216"/>
      <c r="G166" s="216"/>
      <c r="H166" s="216"/>
      <c r="I166" s="218" t="s">
        <v>405</v>
      </c>
      <c r="J166" s="220"/>
      <c r="K166" s="219">
        <f t="shared" si="16"/>
        <v>1143.2157332111362</v>
      </c>
      <c r="L166" s="213"/>
      <c r="M166" s="219">
        <f t="shared" si="17"/>
        <v>2286.4314664222725</v>
      </c>
      <c r="N166" s="213"/>
      <c r="O166" s="219">
        <f t="shared" si="18"/>
        <v>2286.4314664222725</v>
      </c>
      <c r="P166" s="222"/>
      <c r="Q166" s="219">
        <f t="shared" si="19"/>
        <v>4572.862932844545</v>
      </c>
      <c r="R166" s="216"/>
      <c r="S166" s="216"/>
      <c r="T166" s="216"/>
    </row>
    <row r="167" spans="1:20" s="221" customFormat="1" ht="14.25" hidden="1" customHeight="1" x14ac:dyDescent="0.25">
      <c r="A167" s="216"/>
      <c r="B167" s="216"/>
      <c r="C167" s="238"/>
      <c r="D167" s="238"/>
      <c r="E167" s="238"/>
      <c r="F167" s="238"/>
      <c r="G167" s="238"/>
      <c r="H167" s="238"/>
      <c r="I167" s="216"/>
      <c r="J167" s="216"/>
      <c r="K167" s="402"/>
      <c r="L167" s="402"/>
      <c r="M167" s="402"/>
      <c r="N167" s="402"/>
      <c r="O167" s="402"/>
      <c r="P167" s="402"/>
      <c r="Q167" s="402"/>
      <c r="R167" s="216"/>
      <c r="S167" s="216"/>
      <c r="T167" s="216"/>
    </row>
    <row r="168" spans="1:20" s="221" customFormat="1" ht="14.25" hidden="1" customHeight="1" x14ac:dyDescent="0.35">
      <c r="A168" s="216"/>
      <c r="B168" s="216"/>
      <c r="C168" s="216"/>
      <c r="D168" s="216"/>
      <c r="E168" s="216"/>
      <c r="F168" s="216"/>
      <c r="G168" s="216"/>
      <c r="H168" s="216"/>
      <c r="I168" s="253" t="s">
        <v>269</v>
      </c>
      <c r="J168" s="253"/>
      <c r="K168" s="253"/>
      <c r="L168" s="253"/>
      <c r="M168" s="253"/>
      <c r="N168" s="253"/>
      <c r="O168" s="253"/>
      <c r="P168" s="253"/>
      <c r="Q168" s="253"/>
      <c r="R168" s="216"/>
      <c r="S168" s="216"/>
      <c r="T168" s="216"/>
    </row>
    <row r="169" spans="1:20" s="221" customFormat="1" ht="14.25" hidden="1" customHeight="1" x14ac:dyDescent="0.35">
      <c r="A169" s="216"/>
      <c r="B169" s="216"/>
      <c r="C169" s="216"/>
      <c r="D169" s="216"/>
      <c r="E169" s="216"/>
      <c r="F169" s="216"/>
      <c r="G169" s="216"/>
      <c r="H169" s="216"/>
      <c r="I169" s="220"/>
      <c r="J169" s="213"/>
      <c r="K169" s="214" t="s">
        <v>139</v>
      </c>
      <c r="L169" s="213"/>
      <c r="M169" s="214" t="s">
        <v>140</v>
      </c>
      <c r="N169" s="213"/>
      <c r="O169" s="214" t="s">
        <v>141</v>
      </c>
      <c r="P169" s="213"/>
      <c r="Q169" s="214" t="s">
        <v>142</v>
      </c>
      <c r="R169" s="216"/>
      <c r="S169" s="216"/>
      <c r="T169" s="216"/>
    </row>
    <row r="170" spans="1:20" s="221" customFormat="1" ht="14.25" hidden="1" customHeight="1" x14ac:dyDescent="0.35">
      <c r="A170" s="216"/>
      <c r="B170" s="216"/>
      <c r="C170" s="216"/>
      <c r="D170" s="216"/>
      <c r="E170" s="216"/>
      <c r="F170" s="216"/>
      <c r="G170" s="216"/>
      <c r="H170" s="216"/>
      <c r="I170" s="218"/>
      <c r="J170" s="213"/>
      <c r="K170" s="220"/>
      <c r="L170" s="220"/>
      <c r="M170" s="214"/>
      <c r="N170" s="213"/>
      <c r="O170" s="214"/>
      <c r="P170" s="213"/>
      <c r="Q170" s="214"/>
      <c r="R170" s="216"/>
      <c r="S170" s="216"/>
      <c r="T170" s="216"/>
    </row>
    <row r="171" spans="1:20" s="221" customFormat="1" ht="14.25" hidden="1" customHeight="1" x14ac:dyDescent="0.35">
      <c r="A171" s="216"/>
      <c r="B171" s="216"/>
      <c r="C171" s="216"/>
      <c r="D171" s="216"/>
      <c r="E171" s="216"/>
      <c r="F171" s="216"/>
      <c r="G171" s="216"/>
      <c r="H171" s="216"/>
      <c r="I171" s="218" t="s">
        <v>190</v>
      </c>
      <c r="J171" s="220"/>
      <c r="K171" s="399">
        <f>Q171/4</f>
        <v>1561.75</v>
      </c>
      <c r="L171" s="213"/>
      <c r="M171" s="399">
        <f>Q171/2</f>
        <v>3123.5</v>
      </c>
      <c r="N171" s="213"/>
      <c r="O171" s="399">
        <f>Q171/2</f>
        <v>3123.5</v>
      </c>
      <c r="P171" s="213"/>
      <c r="Q171" s="399">
        <v>6247</v>
      </c>
      <c r="R171" s="216"/>
      <c r="S171" s="216"/>
      <c r="T171" s="216"/>
    </row>
    <row r="172" spans="1:20" s="221" customFormat="1" ht="14.25" hidden="1" customHeight="1" x14ac:dyDescent="0.35">
      <c r="A172" s="216"/>
      <c r="B172" s="216"/>
      <c r="C172" s="216"/>
      <c r="D172" s="216"/>
      <c r="E172" s="216"/>
      <c r="F172" s="216"/>
      <c r="G172" s="216"/>
      <c r="H172" s="216"/>
      <c r="I172" s="218" t="s">
        <v>198</v>
      </c>
      <c r="J172" s="220"/>
      <c r="K172" s="219">
        <f>K171*$S$108</f>
        <v>1624.22</v>
      </c>
      <c r="L172" s="213"/>
      <c r="M172" s="219">
        <f>M171*$S$108</f>
        <v>3248.44</v>
      </c>
      <c r="N172" s="213"/>
      <c r="O172" s="219">
        <f>O171*$S$108</f>
        <v>3248.44</v>
      </c>
      <c r="P172" s="213"/>
      <c r="Q172" s="219">
        <f>Q171*$S$108</f>
        <v>6496.88</v>
      </c>
      <c r="R172" s="216"/>
      <c r="S172" s="216"/>
      <c r="T172" s="216"/>
    </row>
    <row r="173" spans="1:20" s="221" customFormat="1" ht="14.25" hidden="1" customHeight="1" x14ac:dyDescent="0.35">
      <c r="A173" s="216"/>
      <c r="B173" s="216"/>
      <c r="C173" s="216"/>
      <c r="D173" s="216"/>
      <c r="E173" s="216"/>
      <c r="F173" s="216"/>
      <c r="G173" s="216"/>
      <c r="H173" s="216"/>
      <c r="I173" s="218" t="s">
        <v>199</v>
      </c>
      <c r="J173" s="220"/>
      <c r="K173" s="219">
        <f t="shared" ref="K173:K178" si="20">K172*$S$108</f>
        <v>1689.1888000000001</v>
      </c>
      <c r="L173" s="213"/>
      <c r="M173" s="219">
        <f t="shared" ref="M173:M178" si="21">M172*$S$108</f>
        <v>3378.3776000000003</v>
      </c>
      <c r="N173" s="213"/>
      <c r="O173" s="219">
        <f t="shared" ref="O173:O178" si="22">O172*$S$108</f>
        <v>3378.3776000000003</v>
      </c>
      <c r="P173" s="213"/>
      <c r="Q173" s="219">
        <f t="shared" ref="Q173:Q178" si="23">Q172*$S$108</f>
        <v>6756.7552000000005</v>
      </c>
      <c r="R173" s="216"/>
      <c r="S173" s="216"/>
      <c r="T173" s="216"/>
    </row>
    <row r="174" spans="1:20" s="221" customFormat="1" ht="14.25" hidden="1" customHeight="1" x14ac:dyDescent="0.35">
      <c r="A174" s="216"/>
      <c r="B174" s="216"/>
      <c r="C174" s="216"/>
      <c r="D174" s="216"/>
      <c r="E174" s="216"/>
      <c r="F174" s="216"/>
      <c r="G174" s="216"/>
      <c r="H174" s="216"/>
      <c r="I174" s="218" t="s">
        <v>205</v>
      </c>
      <c r="J174" s="220"/>
      <c r="K174" s="219">
        <f t="shared" si="20"/>
        <v>1756.7563520000001</v>
      </c>
      <c r="L174" s="213"/>
      <c r="M174" s="219">
        <f t="shared" si="21"/>
        <v>3513.5127040000002</v>
      </c>
      <c r="N174" s="213"/>
      <c r="O174" s="219">
        <f t="shared" si="22"/>
        <v>3513.5127040000002</v>
      </c>
      <c r="P174" s="213"/>
      <c r="Q174" s="219">
        <f t="shared" si="23"/>
        <v>7027.0254080000004</v>
      </c>
      <c r="R174" s="216"/>
      <c r="S174" s="216"/>
      <c r="T174" s="216"/>
    </row>
    <row r="175" spans="1:20" s="221" customFormat="1" ht="14.25" hidden="1" customHeight="1" x14ac:dyDescent="0.35">
      <c r="A175" s="216"/>
      <c r="B175" s="216"/>
      <c r="C175" s="216"/>
      <c r="D175" s="216"/>
      <c r="E175" s="216"/>
      <c r="F175" s="216"/>
      <c r="G175" s="216"/>
      <c r="H175" s="216"/>
      <c r="I175" s="218" t="s">
        <v>208</v>
      </c>
      <c r="J175" s="220"/>
      <c r="K175" s="219">
        <f t="shared" si="20"/>
        <v>1827.0266060800002</v>
      </c>
      <c r="L175" s="213"/>
      <c r="M175" s="219">
        <f t="shared" si="21"/>
        <v>3654.0532121600004</v>
      </c>
      <c r="N175" s="213"/>
      <c r="O175" s="219">
        <f t="shared" si="22"/>
        <v>3654.0532121600004</v>
      </c>
      <c r="P175" s="213"/>
      <c r="Q175" s="219">
        <f t="shared" si="23"/>
        <v>7308.1064243200008</v>
      </c>
      <c r="R175" s="216"/>
      <c r="S175" s="216"/>
      <c r="T175" s="216"/>
    </row>
    <row r="176" spans="1:20" s="221" customFormat="1" ht="14.25" hidden="1" customHeight="1" x14ac:dyDescent="0.35">
      <c r="A176" s="216"/>
      <c r="B176" s="216"/>
      <c r="C176" s="216"/>
      <c r="D176" s="216"/>
      <c r="E176" s="216"/>
      <c r="F176" s="216"/>
      <c r="G176" s="216"/>
      <c r="H176" s="216"/>
      <c r="I176" s="218" t="s">
        <v>211</v>
      </c>
      <c r="J176" s="220"/>
      <c r="K176" s="219">
        <f t="shared" si="20"/>
        <v>1900.1076703232002</v>
      </c>
      <c r="L176" s="213"/>
      <c r="M176" s="219">
        <f t="shared" si="21"/>
        <v>3800.2153406464004</v>
      </c>
      <c r="N176" s="213"/>
      <c r="O176" s="219">
        <f t="shared" si="22"/>
        <v>3800.2153406464004</v>
      </c>
      <c r="P176" s="213"/>
      <c r="Q176" s="219">
        <f t="shared" si="23"/>
        <v>7600.4306812928007</v>
      </c>
      <c r="R176" s="216"/>
      <c r="S176" s="216"/>
      <c r="T176" s="216"/>
    </row>
    <row r="177" spans="1:20" s="221" customFormat="1" ht="14.25" hidden="1" customHeight="1" x14ac:dyDescent="0.35">
      <c r="A177" s="216"/>
      <c r="B177" s="216"/>
      <c r="C177" s="216"/>
      <c r="D177" s="216"/>
      <c r="E177" s="216"/>
      <c r="F177" s="216"/>
      <c r="G177" s="216"/>
      <c r="H177" s="216"/>
      <c r="I177" s="218" t="s">
        <v>264</v>
      </c>
      <c r="J177" s="220"/>
      <c r="K177" s="219">
        <f t="shared" si="20"/>
        <v>1976.1119771361282</v>
      </c>
      <c r="L177" s="213"/>
      <c r="M177" s="219">
        <f t="shared" si="21"/>
        <v>3952.2239542722564</v>
      </c>
      <c r="N177" s="213"/>
      <c r="O177" s="219">
        <f t="shared" si="22"/>
        <v>3952.2239542722564</v>
      </c>
      <c r="P177" s="213"/>
      <c r="Q177" s="219">
        <f t="shared" si="23"/>
        <v>7904.4479085445128</v>
      </c>
      <c r="R177" s="216"/>
      <c r="S177" s="216"/>
      <c r="T177" s="216"/>
    </row>
    <row r="178" spans="1:20" s="221" customFormat="1" ht="14.25" hidden="1" customHeight="1" x14ac:dyDescent="0.35">
      <c r="A178" s="216"/>
      <c r="B178" s="216"/>
      <c r="C178" s="216"/>
      <c r="D178" s="216"/>
      <c r="E178" s="216"/>
      <c r="F178" s="216"/>
      <c r="G178" s="216"/>
      <c r="H178" s="216"/>
      <c r="I178" s="218" t="s">
        <v>403</v>
      </c>
      <c r="J178" s="220"/>
      <c r="K178" s="219">
        <f t="shared" si="20"/>
        <v>2055.1564562215735</v>
      </c>
      <c r="L178" s="213"/>
      <c r="M178" s="219">
        <f t="shared" si="21"/>
        <v>4110.3129124431471</v>
      </c>
      <c r="N178" s="213"/>
      <c r="O178" s="219">
        <f t="shared" si="22"/>
        <v>4110.3129124431471</v>
      </c>
      <c r="P178" s="213"/>
      <c r="Q178" s="219">
        <f t="shared" si="23"/>
        <v>8220.6258248862941</v>
      </c>
      <c r="R178" s="216"/>
      <c r="S178" s="216"/>
      <c r="T178" s="216"/>
    </row>
    <row r="179" spans="1:20" s="221" customFormat="1" ht="14.25" hidden="1" customHeight="1" x14ac:dyDescent="0.35">
      <c r="A179" s="216"/>
      <c r="B179" s="216"/>
      <c r="C179" s="216"/>
      <c r="D179" s="216"/>
      <c r="E179" s="216"/>
      <c r="F179" s="216"/>
      <c r="G179" s="216"/>
      <c r="H179" s="216"/>
      <c r="I179" s="218"/>
      <c r="J179" s="220"/>
      <c r="K179" s="219">
        <v>0</v>
      </c>
      <c r="L179" s="220"/>
      <c r="M179" s="214"/>
      <c r="N179" s="213"/>
      <c r="O179" s="219">
        <v>0</v>
      </c>
      <c r="P179" s="213"/>
      <c r="Q179" s="214"/>
      <c r="R179" s="216"/>
      <c r="S179" s="216"/>
      <c r="T179" s="216"/>
    </row>
    <row r="180" spans="1:20" s="221" customFormat="1" ht="14.25" hidden="1" customHeight="1" x14ac:dyDescent="0.35">
      <c r="A180" s="216"/>
      <c r="B180" s="216"/>
      <c r="C180" s="216"/>
      <c r="D180" s="216"/>
      <c r="E180" s="216"/>
      <c r="F180" s="216"/>
      <c r="G180" s="216"/>
      <c r="H180" s="216"/>
      <c r="I180" s="218" t="s">
        <v>200</v>
      </c>
      <c r="J180" s="220"/>
      <c r="K180" s="400">
        <f>Q180/4</f>
        <v>1561.75</v>
      </c>
      <c r="L180" s="217"/>
      <c r="M180" s="400">
        <f>Q180/2</f>
        <v>3123.5</v>
      </c>
      <c r="N180" s="217"/>
      <c r="O180" s="400">
        <f>Q180/2</f>
        <v>3123.5</v>
      </c>
      <c r="P180" s="217"/>
      <c r="Q180" s="400">
        <v>6247</v>
      </c>
      <c r="R180" s="216"/>
      <c r="S180" s="216"/>
      <c r="T180" s="216"/>
    </row>
    <row r="181" spans="1:20" s="221" customFormat="1" ht="14.25" hidden="1" customHeight="1" x14ac:dyDescent="0.35">
      <c r="A181" s="216"/>
      <c r="B181" s="216"/>
      <c r="C181" s="216"/>
      <c r="D181" s="216"/>
      <c r="E181" s="216"/>
      <c r="F181" s="216"/>
      <c r="G181" s="216"/>
      <c r="H181" s="216"/>
      <c r="I181" s="218" t="s">
        <v>201</v>
      </c>
      <c r="J181" s="220"/>
      <c r="K181" s="219">
        <f>M181/2</f>
        <v>1624.22</v>
      </c>
      <c r="L181" s="217"/>
      <c r="M181" s="219">
        <f>O181</f>
        <v>3248.44</v>
      </c>
      <c r="N181" s="217"/>
      <c r="O181" s="219">
        <f>Q181/2</f>
        <v>3248.44</v>
      </c>
      <c r="P181" s="217"/>
      <c r="Q181" s="219">
        <f>Q180*$S$108</f>
        <v>6496.88</v>
      </c>
      <c r="R181" s="216"/>
      <c r="S181" s="216"/>
      <c r="T181" s="216"/>
    </row>
    <row r="182" spans="1:20" s="221" customFormat="1" ht="14.25" hidden="1" customHeight="1" x14ac:dyDescent="0.35">
      <c r="A182" s="216"/>
      <c r="B182" s="216"/>
      <c r="C182" s="216"/>
      <c r="D182" s="216"/>
      <c r="E182" s="216"/>
      <c r="F182" s="216"/>
      <c r="G182" s="216"/>
      <c r="H182" s="216"/>
      <c r="I182" s="218" t="s">
        <v>204</v>
      </c>
      <c r="J182" s="220"/>
      <c r="K182" s="219">
        <f t="shared" ref="K182:K187" si="24">K181*$S$108</f>
        <v>1689.1888000000001</v>
      </c>
      <c r="L182" s="217"/>
      <c r="M182" s="219">
        <f t="shared" ref="M182:M187" si="25">M181*$S$108</f>
        <v>3378.3776000000003</v>
      </c>
      <c r="N182" s="217"/>
      <c r="O182" s="219">
        <f t="shared" ref="O182:O187" si="26">O181*$S$108</f>
        <v>3378.3776000000003</v>
      </c>
      <c r="P182" s="217"/>
      <c r="Q182" s="219">
        <f>Q181*$S$108</f>
        <v>6756.7552000000005</v>
      </c>
      <c r="R182" s="216"/>
      <c r="S182" s="216"/>
      <c r="T182" s="216"/>
    </row>
    <row r="183" spans="1:20" s="221" customFormat="1" ht="14.25" hidden="1" customHeight="1" x14ac:dyDescent="0.35">
      <c r="A183" s="216"/>
      <c r="B183" s="216"/>
      <c r="C183" s="216"/>
      <c r="D183" s="216"/>
      <c r="E183" s="216"/>
      <c r="F183" s="216"/>
      <c r="G183" s="216"/>
      <c r="H183" s="216"/>
      <c r="I183" s="218" t="s">
        <v>207</v>
      </c>
      <c r="J183" s="220"/>
      <c r="K183" s="219">
        <f t="shared" si="24"/>
        <v>1756.7563520000001</v>
      </c>
      <c r="L183" s="217"/>
      <c r="M183" s="219">
        <f t="shared" si="25"/>
        <v>3513.5127040000002</v>
      </c>
      <c r="N183" s="217"/>
      <c r="O183" s="219">
        <f t="shared" si="26"/>
        <v>3513.5127040000002</v>
      </c>
      <c r="P183" s="217"/>
      <c r="Q183" s="219">
        <f t="shared" ref="Q183:Q187" si="27">Q182*$S$108</f>
        <v>7027.0254080000004</v>
      </c>
      <c r="R183" s="216"/>
      <c r="S183" s="216"/>
      <c r="T183" s="216"/>
    </row>
    <row r="184" spans="1:20" s="221" customFormat="1" ht="14.25" hidden="1" customHeight="1" x14ac:dyDescent="0.35">
      <c r="A184" s="216"/>
      <c r="B184" s="216"/>
      <c r="C184" s="216"/>
      <c r="D184" s="216"/>
      <c r="E184" s="216"/>
      <c r="F184" s="216"/>
      <c r="G184" s="216"/>
      <c r="H184" s="216"/>
      <c r="I184" s="218" t="s">
        <v>209</v>
      </c>
      <c r="J184" s="220"/>
      <c r="K184" s="219">
        <f t="shared" si="24"/>
        <v>1827.0266060800002</v>
      </c>
      <c r="L184" s="217"/>
      <c r="M184" s="219">
        <f t="shared" si="25"/>
        <v>3654.0532121600004</v>
      </c>
      <c r="N184" s="217"/>
      <c r="O184" s="219">
        <f t="shared" si="26"/>
        <v>3654.0532121600004</v>
      </c>
      <c r="P184" s="217"/>
      <c r="Q184" s="219">
        <f t="shared" si="27"/>
        <v>7308.1064243200008</v>
      </c>
      <c r="R184" s="216"/>
      <c r="S184" s="216"/>
      <c r="T184" s="216"/>
    </row>
    <row r="185" spans="1:20" s="221" customFormat="1" ht="14.25" hidden="1" customHeight="1" x14ac:dyDescent="0.35">
      <c r="A185" s="216"/>
      <c r="B185" s="216"/>
      <c r="C185" s="216"/>
      <c r="D185" s="216"/>
      <c r="E185" s="216"/>
      <c r="F185" s="216"/>
      <c r="G185" s="216"/>
      <c r="H185" s="216"/>
      <c r="I185" s="218" t="s">
        <v>265</v>
      </c>
      <c r="J185" s="220"/>
      <c r="K185" s="219">
        <f t="shared" si="24"/>
        <v>1900.1076703232002</v>
      </c>
      <c r="L185" s="217"/>
      <c r="M185" s="219">
        <f t="shared" si="25"/>
        <v>3800.2153406464004</v>
      </c>
      <c r="N185" s="217"/>
      <c r="O185" s="219">
        <f t="shared" si="26"/>
        <v>3800.2153406464004</v>
      </c>
      <c r="P185" s="217"/>
      <c r="Q185" s="219">
        <f t="shared" si="27"/>
        <v>7600.4306812928007</v>
      </c>
      <c r="R185" s="216"/>
      <c r="S185" s="216"/>
      <c r="T185" s="216"/>
    </row>
    <row r="186" spans="1:20" s="221" customFormat="1" ht="14.25" hidden="1" customHeight="1" x14ac:dyDescent="0.35">
      <c r="A186" s="216"/>
      <c r="B186" s="216"/>
      <c r="C186" s="216"/>
      <c r="D186" s="216"/>
      <c r="E186" s="216"/>
      <c r="F186" s="216"/>
      <c r="G186" s="216"/>
      <c r="H186" s="216"/>
      <c r="I186" s="218" t="s">
        <v>266</v>
      </c>
      <c r="J186" s="220"/>
      <c r="K186" s="219">
        <f t="shared" si="24"/>
        <v>1976.1119771361282</v>
      </c>
      <c r="L186" s="217"/>
      <c r="M186" s="219">
        <f t="shared" si="25"/>
        <v>3952.2239542722564</v>
      </c>
      <c r="N186" s="217"/>
      <c r="O186" s="219">
        <f t="shared" si="26"/>
        <v>3952.2239542722564</v>
      </c>
      <c r="P186" s="217"/>
      <c r="Q186" s="219">
        <f t="shared" si="27"/>
        <v>7904.4479085445128</v>
      </c>
      <c r="R186" s="216"/>
      <c r="S186" s="216"/>
      <c r="T186" s="216"/>
    </row>
    <row r="187" spans="1:20" s="221" customFormat="1" ht="14.25" hidden="1" customHeight="1" x14ac:dyDescent="0.35">
      <c r="A187" s="216"/>
      <c r="B187" s="216"/>
      <c r="C187" s="216"/>
      <c r="D187" s="216"/>
      <c r="E187" s="216"/>
      <c r="F187" s="216"/>
      <c r="G187" s="216"/>
      <c r="H187" s="216"/>
      <c r="I187" s="218" t="s">
        <v>404</v>
      </c>
      <c r="J187" s="220"/>
      <c r="K187" s="219">
        <f t="shared" si="24"/>
        <v>2055.1564562215735</v>
      </c>
      <c r="L187" s="217"/>
      <c r="M187" s="219">
        <f t="shared" si="25"/>
        <v>4110.3129124431471</v>
      </c>
      <c r="N187" s="217"/>
      <c r="O187" s="219">
        <f t="shared" si="26"/>
        <v>4110.3129124431471</v>
      </c>
      <c r="P187" s="217"/>
      <c r="Q187" s="219">
        <f t="shared" si="27"/>
        <v>8220.6258248862941</v>
      </c>
      <c r="R187" s="216"/>
      <c r="S187" s="216"/>
      <c r="T187" s="216"/>
    </row>
    <row r="188" spans="1:20" s="221" customFormat="1" ht="14.25" hidden="1" customHeight="1" x14ac:dyDescent="0.35">
      <c r="A188" s="216"/>
      <c r="B188" s="216"/>
      <c r="C188" s="216"/>
      <c r="D188" s="216"/>
      <c r="E188" s="216"/>
      <c r="F188" s="216"/>
      <c r="G188" s="216"/>
      <c r="H188" s="216"/>
      <c r="I188" s="218"/>
      <c r="J188" s="220"/>
      <c r="K188" s="219">
        <v>0</v>
      </c>
      <c r="L188" s="220"/>
      <c r="M188" s="214"/>
      <c r="N188" s="213"/>
      <c r="O188" s="219">
        <v>0</v>
      </c>
      <c r="P188" s="213"/>
      <c r="Q188" s="214"/>
      <c r="R188" s="216"/>
      <c r="S188" s="216"/>
      <c r="T188" s="216"/>
    </row>
    <row r="189" spans="1:20" s="221" customFormat="1" ht="14.25" hidden="1" customHeight="1" x14ac:dyDescent="0.35">
      <c r="A189" s="216"/>
      <c r="B189" s="216"/>
      <c r="C189" s="216"/>
      <c r="D189" s="216"/>
      <c r="E189" s="216"/>
      <c r="F189" s="216"/>
      <c r="G189" s="216"/>
      <c r="H189" s="216"/>
      <c r="I189" s="218" t="s">
        <v>191</v>
      </c>
      <c r="J189" s="220"/>
      <c r="K189" s="401">
        <f>Q189/4</f>
        <v>868.75</v>
      </c>
      <c r="L189" s="213"/>
      <c r="M189" s="401">
        <f>Q189/2</f>
        <v>1737.5</v>
      </c>
      <c r="N189" s="213"/>
      <c r="O189" s="401">
        <f>Q189/2</f>
        <v>1737.5</v>
      </c>
      <c r="P189" s="222"/>
      <c r="Q189" s="401">
        <v>3475</v>
      </c>
      <c r="R189" s="216"/>
      <c r="S189" s="216"/>
      <c r="T189" s="216"/>
    </row>
    <row r="190" spans="1:20" s="221" customFormat="1" ht="14.25" hidden="1" customHeight="1" x14ac:dyDescent="0.35">
      <c r="A190" s="216"/>
      <c r="B190" s="216"/>
      <c r="C190" s="216"/>
      <c r="D190" s="216"/>
      <c r="E190" s="216"/>
      <c r="F190" s="216"/>
      <c r="G190" s="216"/>
      <c r="H190" s="216"/>
      <c r="I190" s="218" t="s">
        <v>202</v>
      </c>
      <c r="J190" s="220"/>
      <c r="K190" s="219">
        <f>K189*$S$108</f>
        <v>903.5</v>
      </c>
      <c r="L190" s="213"/>
      <c r="M190" s="219">
        <f>M189*$S$108</f>
        <v>1807</v>
      </c>
      <c r="N190" s="213"/>
      <c r="O190" s="219">
        <f>O189*$S$108</f>
        <v>1807</v>
      </c>
      <c r="P190" s="222"/>
      <c r="Q190" s="219">
        <f>Q189*$S$108</f>
        <v>3614</v>
      </c>
      <c r="R190" s="216"/>
      <c r="S190" s="216"/>
      <c r="T190" s="216"/>
    </row>
    <row r="191" spans="1:20" s="221" customFormat="1" ht="14.25" hidden="1" customHeight="1" x14ac:dyDescent="0.35">
      <c r="A191" s="216"/>
      <c r="B191" s="216"/>
      <c r="C191" s="216"/>
      <c r="D191" s="216"/>
      <c r="E191" s="216"/>
      <c r="F191" s="216"/>
      <c r="G191" s="216"/>
      <c r="H191" s="216"/>
      <c r="I191" s="218" t="s">
        <v>203</v>
      </c>
      <c r="J191" s="220"/>
      <c r="K191" s="219">
        <f t="shared" ref="K191:K196" si="28">K190*$S$108</f>
        <v>939.64</v>
      </c>
      <c r="L191" s="213"/>
      <c r="M191" s="219">
        <f t="shared" ref="M191:M196" si="29">M190*$S$108</f>
        <v>1879.28</v>
      </c>
      <c r="N191" s="213"/>
      <c r="O191" s="219">
        <f t="shared" ref="O191:O196" si="30">O190*$S$108</f>
        <v>1879.28</v>
      </c>
      <c r="P191" s="222"/>
      <c r="Q191" s="219">
        <f t="shared" ref="Q191:Q196" si="31">Q190*$S$108</f>
        <v>3758.56</v>
      </c>
      <c r="R191" s="216"/>
      <c r="S191" s="216"/>
      <c r="T191" s="216"/>
    </row>
    <row r="192" spans="1:20" s="221" customFormat="1" ht="14.25" hidden="1" customHeight="1" x14ac:dyDescent="0.35">
      <c r="A192" s="216"/>
      <c r="B192" s="216"/>
      <c r="C192" s="216"/>
      <c r="D192" s="216"/>
      <c r="E192" s="216"/>
      <c r="F192" s="216"/>
      <c r="G192" s="216"/>
      <c r="H192" s="216"/>
      <c r="I192" s="218" t="s">
        <v>206</v>
      </c>
      <c r="J192" s="220"/>
      <c r="K192" s="219">
        <f t="shared" si="28"/>
        <v>977.22559999999999</v>
      </c>
      <c r="L192" s="213"/>
      <c r="M192" s="219">
        <f t="shared" si="29"/>
        <v>1954.4512</v>
      </c>
      <c r="N192" s="213"/>
      <c r="O192" s="219">
        <f t="shared" si="30"/>
        <v>1954.4512</v>
      </c>
      <c r="P192" s="222"/>
      <c r="Q192" s="219">
        <f t="shared" si="31"/>
        <v>3908.9023999999999</v>
      </c>
      <c r="R192" s="216"/>
      <c r="S192" s="216"/>
      <c r="T192" s="216"/>
    </row>
    <row r="193" spans="1:20" s="221" customFormat="1" ht="14.25" hidden="1" customHeight="1" x14ac:dyDescent="0.35">
      <c r="A193" s="216"/>
      <c r="B193" s="216"/>
      <c r="C193" s="216"/>
      <c r="D193" s="216"/>
      <c r="E193" s="216"/>
      <c r="F193" s="216"/>
      <c r="G193" s="216"/>
      <c r="H193" s="216"/>
      <c r="I193" s="218" t="s">
        <v>210</v>
      </c>
      <c r="J193" s="220"/>
      <c r="K193" s="219">
        <f t="shared" si="28"/>
        <v>1016.314624</v>
      </c>
      <c r="L193" s="213"/>
      <c r="M193" s="219">
        <f t="shared" si="29"/>
        <v>2032.629248</v>
      </c>
      <c r="N193" s="213"/>
      <c r="O193" s="219">
        <f t="shared" si="30"/>
        <v>2032.629248</v>
      </c>
      <c r="P193" s="222"/>
      <c r="Q193" s="219">
        <f t="shared" si="31"/>
        <v>4065.2584959999999</v>
      </c>
      <c r="R193" s="216"/>
      <c r="S193" s="216"/>
      <c r="T193" s="216"/>
    </row>
    <row r="194" spans="1:20" s="221" customFormat="1" ht="14.25" hidden="1" customHeight="1" x14ac:dyDescent="0.35">
      <c r="A194" s="216"/>
      <c r="B194" s="216"/>
      <c r="C194" s="216"/>
      <c r="D194" s="216"/>
      <c r="E194" s="216"/>
      <c r="F194" s="216"/>
      <c r="G194" s="216"/>
      <c r="H194" s="216"/>
      <c r="I194" s="218" t="s">
        <v>212</v>
      </c>
      <c r="J194" s="220"/>
      <c r="K194" s="219">
        <f t="shared" si="28"/>
        <v>1056.9672089600001</v>
      </c>
      <c r="L194" s="213"/>
      <c r="M194" s="219">
        <f t="shared" si="29"/>
        <v>2113.9344179200002</v>
      </c>
      <c r="N194" s="213"/>
      <c r="O194" s="219">
        <f t="shared" si="30"/>
        <v>2113.9344179200002</v>
      </c>
      <c r="P194" s="222"/>
      <c r="Q194" s="219">
        <f t="shared" si="31"/>
        <v>4227.8688358400004</v>
      </c>
      <c r="R194" s="216"/>
      <c r="S194" s="216"/>
      <c r="T194" s="216"/>
    </row>
    <row r="195" spans="1:20" s="221" customFormat="1" ht="14.25" hidden="1" customHeight="1" x14ac:dyDescent="0.35">
      <c r="A195" s="216"/>
      <c r="B195" s="216"/>
      <c r="C195" s="216"/>
      <c r="D195" s="216"/>
      <c r="E195" s="216"/>
      <c r="F195" s="216"/>
      <c r="G195" s="216"/>
      <c r="H195" s="216"/>
      <c r="I195" s="218" t="s">
        <v>267</v>
      </c>
      <c r="J195" s="220"/>
      <c r="K195" s="219">
        <f t="shared" si="28"/>
        <v>1099.2458973184002</v>
      </c>
      <c r="L195" s="213"/>
      <c r="M195" s="219">
        <f t="shared" si="29"/>
        <v>2198.4917946368005</v>
      </c>
      <c r="N195" s="213"/>
      <c r="O195" s="219">
        <f t="shared" si="30"/>
        <v>2198.4917946368005</v>
      </c>
      <c r="P195" s="222"/>
      <c r="Q195" s="219">
        <f t="shared" si="31"/>
        <v>4396.983589273601</v>
      </c>
      <c r="R195" s="216"/>
      <c r="S195" s="216"/>
      <c r="T195" s="216"/>
    </row>
    <row r="196" spans="1:20" s="221" customFormat="1" ht="14.25" hidden="1" customHeight="1" x14ac:dyDescent="0.35">
      <c r="A196" s="216"/>
      <c r="B196" s="216"/>
      <c r="C196" s="216"/>
      <c r="D196" s="216"/>
      <c r="E196" s="216"/>
      <c r="F196" s="216"/>
      <c r="G196" s="216"/>
      <c r="H196" s="216"/>
      <c r="I196" s="218" t="s">
        <v>405</v>
      </c>
      <c r="J196" s="223"/>
      <c r="K196" s="219">
        <f t="shared" si="28"/>
        <v>1143.2157332111362</v>
      </c>
      <c r="L196" s="239"/>
      <c r="M196" s="219">
        <f t="shared" si="29"/>
        <v>2286.4314664222725</v>
      </c>
      <c r="N196" s="239"/>
      <c r="O196" s="219">
        <f t="shared" si="30"/>
        <v>2286.4314664222725</v>
      </c>
      <c r="P196" s="224"/>
      <c r="Q196" s="219">
        <f t="shared" si="31"/>
        <v>4572.862932844545</v>
      </c>
      <c r="R196" s="240"/>
      <c r="S196" s="240"/>
      <c r="T196" s="216"/>
    </row>
    <row r="197" spans="1:20" s="225" customFormat="1" ht="14.25" hidden="1" customHeight="1" x14ac:dyDescent="0.35">
      <c r="A197" s="180"/>
      <c r="B197" s="180"/>
      <c r="C197" s="180"/>
      <c r="D197" s="180"/>
      <c r="E197" s="180"/>
      <c r="F197" s="180"/>
      <c r="G197" s="180"/>
      <c r="H197" s="180"/>
      <c r="I197" s="180"/>
      <c r="J197" s="180"/>
      <c r="K197" s="180"/>
      <c r="L197" s="180"/>
      <c r="M197" s="180"/>
      <c r="N197" s="180"/>
      <c r="O197" s="180"/>
      <c r="P197" s="180"/>
      <c r="Q197" s="180"/>
      <c r="R197" s="180"/>
      <c r="S197" s="180"/>
      <c r="T197" s="180"/>
    </row>
    <row r="198" spans="1:20" s="221" customFormat="1" ht="14.25" hidden="1" customHeight="1" x14ac:dyDescent="0.35">
      <c r="A198" s="216"/>
      <c r="B198" s="216"/>
      <c r="C198" s="216"/>
      <c r="D198" s="216"/>
      <c r="E198" s="216"/>
      <c r="F198" s="216"/>
      <c r="G198" s="216"/>
      <c r="H198" s="216"/>
      <c r="I198" s="253" t="s">
        <v>219</v>
      </c>
      <c r="J198" s="253"/>
      <c r="K198" s="253"/>
      <c r="L198" s="253"/>
      <c r="M198" s="253"/>
      <c r="N198" s="253"/>
      <c r="O198" s="253"/>
      <c r="P198" s="253"/>
      <c r="Q198" s="253"/>
      <c r="R198" s="180"/>
      <c r="S198" s="180"/>
      <c r="T198" s="180"/>
    </row>
    <row r="199" spans="1:20" s="221" customFormat="1" ht="14.25" hidden="1" customHeight="1" x14ac:dyDescent="0.35">
      <c r="A199" s="216"/>
      <c r="B199" s="216"/>
      <c r="C199" s="216"/>
      <c r="D199" s="216"/>
      <c r="E199" s="216"/>
      <c r="F199" s="216"/>
      <c r="G199" s="216"/>
      <c r="H199" s="216"/>
      <c r="I199" s="220"/>
      <c r="J199" s="213"/>
      <c r="K199" s="214" t="s">
        <v>139</v>
      </c>
      <c r="L199" s="213"/>
      <c r="M199" s="214" t="s">
        <v>140</v>
      </c>
      <c r="N199" s="213"/>
      <c r="O199" s="214" t="s">
        <v>141</v>
      </c>
      <c r="P199" s="213"/>
      <c r="Q199" s="214" t="s">
        <v>142</v>
      </c>
      <c r="R199" s="180"/>
      <c r="S199" s="180"/>
      <c r="T199" s="180"/>
    </row>
    <row r="200" spans="1:20" s="221" customFormat="1" ht="14.25" hidden="1" customHeight="1" x14ac:dyDescent="0.35">
      <c r="A200" s="216"/>
      <c r="B200" s="216"/>
      <c r="C200" s="216"/>
      <c r="D200" s="216"/>
      <c r="E200" s="216"/>
      <c r="F200" s="216"/>
      <c r="G200" s="216"/>
      <c r="H200" s="216"/>
      <c r="I200" s="218"/>
      <c r="J200" s="213"/>
      <c r="K200" s="220"/>
      <c r="L200" s="220"/>
      <c r="M200" s="214"/>
      <c r="N200" s="213"/>
      <c r="O200" s="214"/>
      <c r="P200" s="213"/>
      <c r="Q200" s="214"/>
      <c r="R200" s="180"/>
      <c r="S200" s="180"/>
      <c r="T200" s="180"/>
    </row>
    <row r="201" spans="1:20" s="221" customFormat="1" ht="14.25" hidden="1" customHeight="1" x14ac:dyDescent="0.35">
      <c r="A201" s="216"/>
      <c r="B201" s="216"/>
      <c r="C201" s="216"/>
      <c r="D201" s="216"/>
      <c r="E201" s="216"/>
      <c r="F201" s="216"/>
      <c r="G201" s="216"/>
      <c r="H201" s="216"/>
      <c r="I201" s="218" t="s">
        <v>190</v>
      </c>
      <c r="J201" s="220"/>
      <c r="K201" s="399">
        <f>Q201/4</f>
        <v>1429.5</v>
      </c>
      <c r="L201" s="213"/>
      <c r="M201" s="399">
        <f>Q201/2</f>
        <v>2859</v>
      </c>
      <c r="N201" s="213"/>
      <c r="O201" s="399">
        <f>Q201/2</f>
        <v>2859</v>
      </c>
      <c r="P201" s="213"/>
      <c r="Q201" s="399">
        <v>5718</v>
      </c>
      <c r="R201" s="180"/>
      <c r="S201" s="180"/>
      <c r="T201" s="180"/>
    </row>
    <row r="202" spans="1:20" s="221" customFormat="1" ht="14.25" hidden="1" customHeight="1" x14ac:dyDescent="0.35">
      <c r="A202" s="216"/>
      <c r="B202" s="216"/>
      <c r="C202" s="216"/>
      <c r="D202" s="216"/>
      <c r="E202" s="216"/>
      <c r="F202" s="216"/>
      <c r="G202" s="216"/>
      <c r="H202" s="216"/>
      <c r="I202" s="218" t="s">
        <v>198</v>
      </c>
      <c r="J202" s="220"/>
      <c r="K202" s="219">
        <f>K201*$S$108</f>
        <v>1486.68</v>
      </c>
      <c r="L202" s="213"/>
      <c r="M202" s="219">
        <f>M201*$S$108</f>
        <v>2973.36</v>
      </c>
      <c r="N202" s="213"/>
      <c r="O202" s="219">
        <f>O201*$S$108</f>
        <v>2973.36</v>
      </c>
      <c r="P202" s="213"/>
      <c r="Q202" s="219">
        <f>Q201*$S$108</f>
        <v>5946.72</v>
      </c>
      <c r="R202" s="180"/>
      <c r="S202" s="180"/>
      <c r="T202" s="180"/>
    </row>
    <row r="203" spans="1:20" s="221" customFormat="1" ht="14.25" hidden="1" customHeight="1" x14ac:dyDescent="0.35">
      <c r="A203" s="216"/>
      <c r="B203" s="216"/>
      <c r="C203" s="216"/>
      <c r="D203" s="216"/>
      <c r="E203" s="216"/>
      <c r="F203" s="216"/>
      <c r="G203" s="216"/>
      <c r="H203" s="216"/>
      <c r="I203" s="218" t="s">
        <v>199</v>
      </c>
      <c r="J203" s="220"/>
      <c r="K203" s="219">
        <f t="shared" ref="K203:K208" si="32">K202*$S$108</f>
        <v>1546.1472000000001</v>
      </c>
      <c r="L203" s="213"/>
      <c r="M203" s="219">
        <f t="shared" ref="M203:M208" si="33">M202*$S$108</f>
        <v>3092.2944000000002</v>
      </c>
      <c r="N203" s="213"/>
      <c r="O203" s="219">
        <f t="shared" ref="O203:O208" si="34">O202*$S$108</f>
        <v>3092.2944000000002</v>
      </c>
      <c r="P203" s="213"/>
      <c r="Q203" s="219">
        <f t="shared" ref="Q203:Q208" si="35">Q202*$S$108</f>
        <v>6184.5888000000004</v>
      </c>
      <c r="R203" s="180"/>
      <c r="S203" s="180"/>
      <c r="T203" s="180"/>
    </row>
    <row r="204" spans="1:20" s="221" customFormat="1" ht="14.25" hidden="1" customHeight="1" x14ac:dyDescent="0.35">
      <c r="A204" s="216"/>
      <c r="B204" s="216"/>
      <c r="C204" s="216"/>
      <c r="D204" s="216"/>
      <c r="E204" s="216"/>
      <c r="F204" s="216"/>
      <c r="G204" s="216"/>
      <c r="H204" s="216"/>
      <c r="I204" s="218" t="s">
        <v>205</v>
      </c>
      <c r="J204" s="220"/>
      <c r="K204" s="219">
        <f t="shared" si="32"/>
        <v>1607.9930880000002</v>
      </c>
      <c r="L204" s="213"/>
      <c r="M204" s="219">
        <f t="shared" si="33"/>
        <v>3215.9861760000003</v>
      </c>
      <c r="N204" s="213"/>
      <c r="O204" s="219">
        <f t="shared" si="34"/>
        <v>3215.9861760000003</v>
      </c>
      <c r="P204" s="213"/>
      <c r="Q204" s="219">
        <f t="shared" si="35"/>
        <v>6431.9723520000007</v>
      </c>
      <c r="R204" s="180"/>
      <c r="S204" s="180"/>
      <c r="T204" s="180"/>
    </row>
    <row r="205" spans="1:20" s="221" customFormat="1" ht="14.25" hidden="1" customHeight="1" x14ac:dyDescent="0.35">
      <c r="A205" s="216"/>
      <c r="B205" s="216"/>
      <c r="C205" s="216"/>
      <c r="D205" s="216"/>
      <c r="E205" s="216"/>
      <c r="F205" s="216"/>
      <c r="G205" s="216"/>
      <c r="H205" s="216"/>
      <c r="I205" s="218" t="s">
        <v>208</v>
      </c>
      <c r="J205" s="220"/>
      <c r="K205" s="219">
        <f t="shared" si="32"/>
        <v>1672.3128115200002</v>
      </c>
      <c r="L205" s="213"/>
      <c r="M205" s="219">
        <f t="shared" si="33"/>
        <v>3344.6256230400004</v>
      </c>
      <c r="N205" s="213"/>
      <c r="O205" s="219">
        <f t="shared" si="34"/>
        <v>3344.6256230400004</v>
      </c>
      <c r="P205" s="213"/>
      <c r="Q205" s="219">
        <f t="shared" si="35"/>
        <v>6689.2512460800008</v>
      </c>
      <c r="R205" s="180"/>
      <c r="S205" s="180"/>
      <c r="T205" s="180"/>
    </row>
    <row r="206" spans="1:20" s="221" customFormat="1" ht="14.25" hidden="1" customHeight="1" x14ac:dyDescent="0.35">
      <c r="A206" s="216"/>
      <c r="B206" s="216"/>
      <c r="C206" s="216"/>
      <c r="D206" s="216"/>
      <c r="E206" s="216"/>
      <c r="F206" s="216"/>
      <c r="G206" s="216"/>
      <c r="H206" s="216"/>
      <c r="I206" s="218" t="s">
        <v>211</v>
      </c>
      <c r="J206" s="220"/>
      <c r="K206" s="219">
        <f t="shared" si="32"/>
        <v>1739.2053239808004</v>
      </c>
      <c r="L206" s="213"/>
      <c r="M206" s="219">
        <f t="shared" si="33"/>
        <v>3478.4106479616007</v>
      </c>
      <c r="N206" s="213"/>
      <c r="O206" s="219">
        <f t="shared" si="34"/>
        <v>3478.4106479616007</v>
      </c>
      <c r="P206" s="213"/>
      <c r="Q206" s="219">
        <f t="shared" si="35"/>
        <v>6956.8212959232014</v>
      </c>
      <c r="R206" s="180"/>
      <c r="S206" s="180"/>
      <c r="T206" s="180"/>
    </row>
    <row r="207" spans="1:20" s="221" customFormat="1" ht="14.25" hidden="1" customHeight="1" x14ac:dyDescent="0.35">
      <c r="A207" s="216"/>
      <c r="B207" s="216"/>
      <c r="C207" s="216"/>
      <c r="D207" s="216"/>
      <c r="E207" s="216"/>
      <c r="F207" s="216"/>
      <c r="G207" s="216"/>
      <c r="H207" s="216"/>
      <c r="I207" s="218" t="s">
        <v>264</v>
      </c>
      <c r="J207" s="220"/>
      <c r="K207" s="219">
        <f t="shared" si="32"/>
        <v>1808.7735369400325</v>
      </c>
      <c r="L207" s="213"/>
      <c r="M207" s="219">
        <f t="shared" si="33"/>
        <v>3617.547073880065</v>
      </c>
      <c r="N207" s="213"/>
      <c r="O207" s="219">
        <f t="shared" si="34"/>
        <v>3617.547073880065</v>
      </c>
      <c r="P207" s="213"/>
      <c r="Q207" s="219">
        <f t="shared" si="35"/>
        <v>7235.09414776013</v>
      </c>
      <c r="R207" s="180"/>
      <c r="S207" s="180"/>
      <c r="T207" s="180"/>
    </row>
    <row r="208" spans="1:20" s="221" customFormat="1" ht="14.25" hidden="1" customHeight="1" x14ac:dyDescent="0.35">
      <c r="A208" s="216"/>
      <c r="B208" s="216"/>
      <c r="C208" s="216"/>
      <c r="D208" s="216"/>
      <c r="E208" s="216"/>
      <c r="F208" s="216"/>
      <c r="G208" s="216"/>
      <c r="H208" s="216"/>
      <c r="I208" s="218" t="s">
        <v>403</v>
      </c>
      <c r="J208" s="220"/>
      <c r="K208" s="219">
        <f t="shared" si="32"/>
        <v>1881.1244784176338</v>
      </c>
      <c r="L208" s="213"/>
      <c r="M208" s="219">
        <f t="shared" si="33"/>
        <v>3762.2489568352676</v>
      </c>
      <c r="N208" s="213"/>
      <c r="O208" s="219">
        <f t="shared" si="34"/>
        <v>3762.2489568352676</v>
      </c>
      <c r="P208" s="213"/>
      <c r="Q208" s="219">
        <f t="shared" si="35"/>
        <v>7524.4979136705351</v>
      </c>
      <c r="R208" s="180"/>
      <c r="S208" s="180"/>
      <c r="T208" s="180"/>
    </row>
    <row r="209" spans="1:20" s="221" customFormat="1" ht="14.25" hidden="1" customHeight="1" x14ac:dyDescent="0.35">
      <c r="A209" s="216"/>
      <c r="B209" s="216"/>
      <c r="C209" s="216"/>
      <c r="D209" s="216"/>
      <c r="E209" s="216"/>
      <c r="F209" s="216"/>
      <c r="G209" s="216"/>
      <c r="H209" s="216"/>
      <c r="I209" s="218"/>
      <c r="J209" s="220"/>
      <c r="K209" s="219">
        <v>0</v>
      </c>
      <c r="L209" s="220"/>
      <c r="M209" s="214"/>
      <c r="N209" s="213"/>
      <c r="O209" s="219">
        <v>0</v>
      </c>
      <c r="P209" s="213"/>
      <c r="Q209" s="214"/>
      <c r="R209" s="180"/>
      <c r="S209" s="180"/>
      <c r="T209" s="180"/>
    </row>
    <row r="210" spans="1:20" s="221" customFormat="1" ht="14.25" hidden="1" customHeight="1" x14ac:dyDescent="0.35">
      <c r="A210" s="216"/>
      <c r="B210" s="216"/>
      <c r="C210" s="216"/>
      <c r="D210" s="216"/>
      <c r="E210" s="216"/>
      <c r="F210" s="216"/>
      <c r="G210" s="216"/>
      <c r="H210" s="216"/>
      <c r="I210" s="218" t="s">
        <v>200</v>
      </c>
      <c r="J210" s="220"/>
      <c r="K210" s="400">
        <f>Q210/4</f>
        <v>1429.5</v>
      </c>
      <c r="L210" s="217"/>
      <c r="M210" s="400">
        <f>Q210/2</f>
        <v>2859</v>
      </c>
      <c r="N210" s="217"/>
      <c r="O210" s="400">
        <f>Q210/2</f>
        <v>2859</v>
      </c>
      <c r="P210" s="217"/>
      <c r="Q210" s="400">
        <v>5718</v>
      </c>
      <c r="R210" s="180"/>
      <c r="S210" s="180"/>
      <c r="T210" s="180"/>
    </row>
    <row r="211" spans="1:20" s="221" customFormat="1" ht="14.25" hidden="1" customHeight="1" x14ac:dyDescent="0.35">
      <c r="A211" s="216"/>
      <c r="B211" s="216"/>
      <c r="C211" s="216"/>
      <c r="D211" s="216"/>
      <c r="E211" s="216"/>
      <c r="F211" s="216"/>
      <c r="G211" s="216"/>
      <c r="H211" s="216"/>
      <c r="I211" s="218" t="s">
        <v>201</v>
      </c>
      <c r="J211" s="220"/>
      <c r="K211" s="219">
        <f>M211/2</f>
        <v>1486.68</v>
      </c>
      <c r="L211" s="217"/>
      <c r="M211" s="219">
        <f>O211</f>
        <v>2973.36</v>
      </c>
      <c r="N211" s="217"/>
      <c r="O211" s="219">
        <f>Q211/2</f>
        <v>2973.36</v>
      </c>
      <c r="P211" s="217"/>
      <c r="Q211" s="219">
        <f>Q210*$S$108</f>
        <v>5946.72</v>
      </c>
      <c r="R211" s="180"/>
      <c r="S211" s="180"/>
      <c r="T211" s="180"/>
    </row>
    <row r="212" spans="1:20" s="221" customFormat="1" ht="14.25" hidden="1" customHeight="1" x14ac:dyDescent="0.35">
      <c r="A212" s="216"/>
      <c r="B212" s="216"/>
      <c r="C212" s="216"/>
      <c r="D212" s="216"/>
      <c r="E212" s="216"/>
      <c r="F212" s="216"/>
      <c r="G212" s="216"/>
      <c r="H212" s="216"/>
      <c r="I212" s="218" t="s">
        <v>204</v>
      </c>
      <c r="J212" s="220"/>
      <c r="K212" s="219">
        <f t="shared" ref="K212:K217" si="36">K211*$S$108</f>
        <v>1546.1472000000001</v>
      </c>
      <c r="L212" s="217"/>
      <c r="M212" s="219">
        <f t="shared" ref="M212:M217" si="37">M211*$S$108</f>
        <v>3092.2944000000002</v>
      </c>
      <c r="N212" s="217"/>
      <c r="O212" s="219">
        <f t="shared" ref="O212:O217" si="38">O211*$S$108</f>
        <v>3092.2944000000002</v>
      </c>
      <c r="P212" s="217"/>
      <c r="Q212" s="219">
        <f>Q211*$S$108</f>
        <v>6184.5888000000004</v>
      </c>
      <c r="R212" s="180"/>
      <c r="S212" s="180"/>
      <c r="T212" s="180"/>
    </row>
    <row r="213" spans="1:20" s="221" customFormat="1" ht="14.25" hidden="1" customHeight="1" x14ac:dyDescent="0.35">
      <c r="A213" s="216"/>
      <c r="B213" s="216"/>
      <c r="C213" s="216"/>
      <c r="D213" s="216"/>
      <c r="E213" s="216"/>
      <c r="F213" s="216"/>
      <c r="G213" s="216"/>
      <c r="H213" s="216"/>
      <c r="I213" s="218" t="s">
        <v>207</v>
      </c>
      <c r="J213" s="220"/>
      <c r="K213" s="219">
        <f t="shared" si="36"/>
        <v>1607.9930880000002</v>
      </c>
      <c r="L213" s="217"/>
      <c r="M213" s="219">
        <f t="shared" si="37"/>
        <v>3215.9861760000003</v>
      </c>
      <c r="N213" s="217"/>
      <c r="O213" s="219">
        <f t="shared" si="38"/>
        <v>3215.9861760000003</v>
      </c>
      <c r="P213" s="217"/>
      <c r="Q213" s="219">
        <f t="shared" ref="Q213:Q217" si="39">Q212*$S$108</f>
        <v>6431.9723520000007</v>
      </c>
      <c r="R213" s="180"/>
      <c r="S213" s="180"/>
      <c r="T213" s="180"/>
    </row>
    <row r="214" spans="1:20" s="221" customFormat="1" ht="14.25" hidden="1" customHeight="1" x14ac:dyDescent="0.35">
      <c r="A214" s="216"/>
      <c r="B214" s="216"/>
      <c r="C214" s="216"/>
      <c r="D214" s="216"/>
      <c r="E214" s="216"/>
      <c r="F214" s="216"/>
      <c r="G214" s="216"/>
      <c r="H214" s="216"/>
      <c r="I214" s="218" t="s">
        <v>209</v>
      </c>
      <c r="J214" s="220"/>
      <c r="K214" s="219">
        <f t="shared" si="36"/>
        <v>1672.3128115200002</v>
      </c>
      <c r="L214" s="217"/>
      <c r="M214" s="219">
        <f t="shared" si="37"/>
        <v>3344.6256230400004</v>
      </c>
      <c r="N214" s="217"/>
      <c r="O214" s="219">
        <f t="shared" si="38"/>
        <v>3344.6256230400004</v>
      </c>
      <c r="P214" s="217"/>
      <c r="Q214" s="219">
        <f t="shared" si="39"/>
        <v>6689.2512460800008</v>
      </c>
      <c r="R214" s="180"/>
      <c r="S214" s="180"/>
      <c r="T214" s="180"/>
    </row>
    <row r="215" spans="1:20" s="221" customFormat="1" ht="14.25" hidden="1" customHeight="1" x14ac:dyDescent="0.35">
      <c r="A215" s="216"/>
      <c r="B215" s="216"/>
      <c r="C215" s="216"/>
      <c r="D215" s="216"/>
      <c r="E215" s="216"/>
      <c r="F215" s="216"/>
      <c r="G215" s="216"/>
      <c r="H215" s="216"/>
      <c r="I215" s="218" t="s">
        <v>265</v>
      </c>
      <c r="J215" s="220"/>
      <c r="K215" s="219">
        <f t="shared" si="36"/>
        <v>1739.2053239808004</v>
      </c>
      <c r="L215" s="217"/>
      <c r="M215" s="219">
        <f t="shared" si="37"/>
        <v>3478.4106479616007</v>
      </c>
      <c r="N215" s="217"/>
      <c r="O215" s="219">
        <f t="shared" si="38"/>
        <v>3478.4106479616007</v>
      </c>
      <c r="P215" s="217"/>
      <c r="Q215" s="219">
        <f t="shared" si="39"/>
        <v>6956.8212959232014</v>
      </c>
      <c r="R215" s="180"/>
      <c r="S215" s="180"/>
      <c r="T215" s="180"/>
    </row>
    <row r="216" spans="1:20" s="221" customFormat="1" ht="14.25" hidden="1" customHeight="1" x14ac:dyDescent="0.35">
      <c r="A216" s="216"/>
      <c r="B216" s="216"/>
      <c r="C216" s="216"/>
      <c r="D216" s="216"/>
      <c r="E216" s="216"/>
      <c r="F216" s="216"/>
      <c r="G216" s="216"/>
      <c r="H216" s="216"/>
      <c r="I216" s="218" t="s">
        <v>266</v>
      </c>
      <c r="J216" s="220"/>
      <c r="K216" s="219">
        <f t="shared" si="36"/>
        <v>1808.7735369400325</v>
      </c>
      <c r="L216" s="217"/>
      <c r="M216" s="219">
        <f t="shared" si="37"/>
        <v>3617.547073880065</v>
      </c>
      <c r="N216" s="217"/>
      <c r="O216" s="219">
        <f t="shared" si="38"/>
        <v>3617.547073880065</v>
      </c>
      <c r="P216" s="217"/>
      <c r="Q216" s="219">
        <f t="shared" si="39"/>
        <v>7235.09414776013</v>
      </c>
      <c r="R216" s="180"/>
      <c r="S216" s="180"/>
      <c r="T216" s="180"/>
    </row>
    <row r="217" spans="1:20" s="221" customFormat="1" ht="14.25" hidden="1" customHeight="1" x14ac:dyDescent="0.35">
      <c r="A217" s="216"/>
      <c r="B217" s="216"/>
      <c r="C217" s="216"/>
      <c r="D217" s="216"/>
      <c r="E217" s="216"/>
      <c r="F217" s="216"/>
      <c r="G217" s="216"/>
      <c r="H217" s="216"/>
      <c r="I217" s="218" t="s">
        <v>404</v>
      </c>
      <c r="J217" s="220"/>
      <c r="K217" s="219">
        <f t="shared" si="36"/>
        <v>1881.1244784176338</v>
      </c>
      <c r="L217" s="217"/>
      <c r="M217" s="219">
        <f t="shared" si="37"/>
        <v>3762.2489568352676</v>
      </c>
      <c r="N217" s="217"/>
      <c r="O217" s="219">
        <f t="shared" si="38"/>
        <v>3762.2489568352676</v>
      </c>
      <c r="P217" s="217"/>
      <c r="Q217" s="219">
        <f t="shared" si="39"/>
        <v>7524.4979136705351</v>
      </c>
      <c r="R217" s="180"/>
      <c r="S217" s="180"/>
      <c r="T217" s="180"/>
    </row>
    <row r="218" spans="1:20" s="221" customFormat="1" ht="14.25" hidden="1" customHeight="1" x14ac:dyDescent="0.35">
      <c r="A218" s="216"/>
      <c r="B218" s="216"/>
      <c r="C218" s="216"/>
      <c r="D218" s="216"/>
      <c r="E218" s="216"/>
      <c r="F218" s="216"/>
      <c r="G218" s="216"/>
      <c r="H218" s="216"/>
      <c r="I218" s="218"/>
      <c r="J218" s="220"/>
      <c r="K218" s="219">
        <v>0</v>
      </c>
      <c r="L218" s="220"/>
      <c r="M218" s="214"/>
      <c r="N218" s="213"/>
      <c r="O218" s="219">
        <v>0</v>
      </c>
      <c r="P218" s="213"/>
      <c r="Q218" s="214"/>
      <c r="R218" s="180"/>
      <c r="S218" s="180"/>
      <c r="T218" s="180"/>
    </row>
    <row r="219" spans="1:20" s="221" customFormat="1" ht="14.25" hidden="1" customHeight="1" x14ac:dyDescent="0.35">
      <c r="A219" s="216"/>
      <c r="B219" s="216"/>
      <c r="C219" s="216"/>
      <c r="D219" s="216"/>
      <c r="E219" s="216"/>
      <c r="F219" s="216"/>
      <c r="G219" s="216"/>
      <c r="H219" s="216"/>
      <c r="I219" s="218" t="s">
        <v>191</v>
      </c>
      <c r="J219" s="220"/>
      <c r="K219" s="401">
        <f>Q219/4</f>
        <v>795</v>
      </c>
      <c r="L219" s="213"/>
      <c r="M219" s="401">
        <f>Q219/2</f>
        <v>1590</v>
      </c>
      <c r="N219" s="213"/>
      <c r="O219" s="401">
        <f>Q219/2</f>
        <v>1590</v>
      </c>
      <c r="P219" s="222"/>
      <c r="Q219" s="401">
        <v>3180</v>
      </c>
      <c r="R219" s="180"/>
      <c r="S219" s="180"/>
      <c r="T219" s="180"/>
    </row>
    <row r="220" spans="1:20" s="221" customFormat="1" ht="14.25" hidden="1" customHeight="1" x14ac:dyDescent="0.35">
      <c r="A220" s="216"/>
      <c r="B220" s="216"/>
      <c r="C220" s="216"/>
      <c r="D220" s="216"/>
      <c r="E220" s="216"/>
      <c r="F220" s="216"/>
      <c r="G220" s="216"/>
      <c r="H220" s="216"/>
      <c r="I220" s="218" t="s">
        <v>202</v>
      </c>
      <c r="J220" s="220"/>
      <c r="K220" s="219">
        <f>K219*$S$108</f>
        <v>826.80000000000007</v>
      </c>
      <c r="L220" s="213"/>
      <c r="M220" s="219">
        <f>M219*$S$108</f>
        <v>1653.6000000000001</v>
      </c>
      <c r="N220" s="213"/>
      <c r="O220" s="219">
        <f>O219*$S$108</f>
        <v>1653.6000000000001</v>
      </c>
      <c r="P220" s="222"/>
      <c r="Q220" s="219">
        <f>Q219*$S$108</f>
        <v>3307.2000000000003</v>
      </c>
      <c r="R220" s="180"/>
      <c r="S220" s="180"/>
      <c r="T220" s="180"/>
    </row>
    <row r="221" spans="1:20" s="221" customFormat="1" ht="14.25" hidden="1" customHeight="1" x14ac:dyDescent="0.35">
      <c r="A221" s="216"/>
      <c r="B221" s="216"/>
      <c r="C221" s="216"/>
      <c r="D221" s="216"/>
      <c r="E221" s="216"/>
      <c r="F221" s="216"/>
      <c r="G221" s="216"/>
      <c r="H221" s="216"/>
      <c r="I221" s="218" t="s">
        <v>203</v>
      </c>
      <c r="J221" s="220"/>
      <c r="K221" s="219">
        <f t="shared" ref="K221:K226" si="40">K220*$S$108</f>
        <v>859.87200000000007</v>
      </c>
      <c r="L221" s="213"/>
      <c r="M221" s="219">
        <f t="shared" ref="M221:M226" si="41">M220*$S$108</f>
        <v>1719.7440000000001</v>
      </c>
      <c r="N221" s="213"/>
      <c r="O221" s="219">
        <f t="shared" ref="O221:O226" si="42">O220*$S$108</f>
        <v>1719.7440000000001</v>
      </c>
      <c r="P221" s="222"/>
      <c r="Q221" s="219">
        <f t="shared" ref="Q221:Q226" si="43">Q220*$S$108</f>
        <v>3439.4880000000003</v>
      </c>
      <c r="R221" s="180"/>
      <c r="S221" s="180"/>
      <c r="T221" s="180"/>
    </row>
    <row r="222" spans="1:20" s="221" customFormat="1" ht="14.25" hidden="1" customHeight="1" x14ac:dyDescent="0.35">
      <c r="A222" s="216"/>
      <c r="B222" s="216"/>
      <c r="C222" s="216"/>
      <c r="D222" s="216"/>
      <c r="E222" s="216"/>
      <c r="F222" s="216"/>
      <c r="G222" s="216"/>
      <c r="H222" s="216"/>
      <c r="I222" s="218" t="s">
        <v>206</v>
      </c>
      <c r="J222" s="220"/>
      <c r="K222" s="219">
        <f t="shared" si="40"/>
        <v>894.26688000000013</v>
      </c>
      <c r="L222" s="213"/>
      <c r="M222" s="219">
        <f t="shared" si="41"/>
        <v>1788.5337600000003</v>
      </c>
      <c r="N222" s="213"/>
      <c r="O222" s="219">
        <f t="shared" si="42"/>
        <v>1788.5337600000003</v>
      </c>
      <c r="P222" s="222"/>
      <c r="Q222" s="219">
        <f t="shared" si="43"/>
        <v>3577.0675200000005</v>
      </c>
      <c r="R222" s="180"/>
      <c r="S222" s="180"/>
      <c r="T222" s="180"/>
    </row>
    <row r="223" spans="1:20" s="221" customFormat="1" ht="14.25" hidden="1" customHeight="1" x14ac:dyDescent="0.35">
      <c r="A223" s="216"/>
      <c r="B223" s="216"/>
      <c r="C223" s="216"/>
      <c r="D223" s="216"/>
      <c r="E223" s="216"/>
      <c r="F223" s="216"/>
      <c r="G223" s="216"/>
      <c r="H223" s="216"/>
      <c r="I223" s="218" t="s">
        <v>210</v>
      </c>
      <c r="J223" s="220"/>
      <c r="K223" s="219">
        <f t="shared" si="40"/>
        <v>930.03755520000016</v>
      </c>
      <c r="L223" s="213"/>
      <c r="M223" s="219">
        <f t="shared" si="41"/>
        <v>1860.0751104000003</v>
      </c>
      <c r="N223" s="213"/>
      <c r="O223" s="219">
        <f t="shared" si="42"/>
        <v>1860.0751104000003</v>
      </c>
      <c r="P223" s="222"/>
      <c r="Q223" s="219">
        <f t="shared" si="43"/>
        <v>3720.1502208000006</v>
      </c>
      <c r="R223" s="180"/>
      <c r="S223" s="180"/>
      <c r="T223" s="180"/>
    </row>
    <row r="224" spans="1:20" s="221" customFormat="1" ht="14.25" hidden="1" customHeight="1" x14ac:dyDescent="0.35">
      <c r="A224" s="216"/>
      <c r="B224" s="216"/>
      <c r="C224" s="216"/>
      <c r="D224" s="216"/>
      <c r="E224" s="216"/>
      <c r="F224" s="216"/>
      <c r="G224" s="216"/>
      <c r="H224" s="216"/>
      <c r="I224" s="218" t="s">
        <v>212</v>
      </c>
      <c r="J224" s="220"/>
      <c r="K224" s="219">
        <f t="shared" si="40"/>
        <v>967.23905740800024</v>
      </c>
      <c r="L224" s="213"/>
      <c r="M224" s="219">
        <f t="shared" si="41"/>
        <v>1934.4781148160005</v>
      </c>
      <c r="N224" s="213"/>
      <c r="O224" s="219">
        <f t="shared" si="42"/>
        <v>1934.4781148160005</v>
      </c>
      <c r="P224" s="222"/>
      <c r="Q224" s="219">
        <f t="shared" si="43"/>
        <v>3868.9562296320009</v>
      </c>
      <c r="R224" s="180"/>
      <c r="S224" s="180"/>
      <c r="T224" s="180"/>
    </row>
    <row r="225" spans="1:20" s="221" customFormat="1" ht="14.25" hidden="1" customHeight="1" x14ac:dyDescent="0.35">
      <c r="A225" s="216"/>
      <c r="B225" s="216"/>
      <c r="C225" s="216"/>
      <c r="D225" s="216"/>
      <c r="E225" s="216"/>
      <c r="F225" s="216"/>
      <c r="G225" s="216"/>
      <c r="H225" s="216"/>
      <c r="I225" s="218" t="s">
        <v>267</v>
      </c>
      <c r="J225" s="220"/>
      <c r="K225" s="219">
        <f t="shared" si="40"/>
        <v>1005.9286197043202</v>
      </c>
      <c r="L225" s="213"/>
      <c r="M225" s="219">
        <f t="shared" si="41"/>
        <v>2011.8572394086405</v>
      </c>
      <c r="N225" s="213"/>
      <c r="O225" s="219">
        <f t="shared" si="42"/>
        <v>2011.8572394086405</v>
      </c>
      <c r="P225" s="222"/>
      <c r="Q225" s="219">
        <f t="shared" si="43"/>
        <v>4023.7144788172809</v>
      </c>
      <c r="R225" s="180"/>
      <c r="S225" s="180"/>
      <c r="T225" s="180"/>
    </row>
    <row r="226" spans="1:20" s="221" customFormat="1" ht="14.25" hidden="1" customHeight="1" x14ac:dyDescent="0.35">
      <c r="A226" s="238"/>
      <c r="B226" s="238"/>
      <c r="C226" s="238"/>
      <c r="D226" s="238"/>
      <c r="E226" s="238"/>
      <c r="F226" s="238"/>
      <c r="G226" s="238"/>
      <c r="H226" s="238"/>
      <c r="I226" s="218" t="s">
        <v>405</v>
      </c>
      <c r="J226" s="223"/>
      <c r="K226" s="219">
        <f t="shared" si="40"/>
        <v>1046.1657644924931</v>
      </c>
      <c r="L226" s="239"/>
      <c r="M226" s="219">
        <f t="shared" si="41"/>
        <v>2092.3315289849861</v>
      </c>
      <c r="N226" s="239"/>
      <c r="O226" s="219">
        <f t="shared" si="42"/>
        <v>2092.3315289849861</v>
      </c>
      <c r="P226" s="224"/>
      <c r="Q226" s="219">
        <f t="shared" si="43"/>
        <v>4184.6630579699722</v>
      </c>
      <c r="R226" s="180"/>
      <c r="S226" s="180"/>
      <c r="T226" s="180"/>
    </row>
    <row r="227" spans="1:20" s="213" customFormat="1" ht="14.25" hidden="1" customHeight="1" x14ac:dyDescent="0.35">
      <c r="A227" s="234"/>
      <c r="B227" s="234"/>
      <c r="C227" s="234"/>
      <c r="D227" s="234"/>
      <c r="E227" s="234"/>
      <c r="F227" s="234"/>
      <c r="G227" s="234"/>
      <c r="H227" s="234"/>
      <c r="I227" s="180"/>
      <c r="J227" s="180"/>
      <c r="K227" s="180"/>
      <c r="L227" s="180"/>
      <c r="M227" s="180"/>
      <c r="N227" s="180"/>
      <c r="O227" s="180"/>
      <c r="P227" s="180"/>
      <c r="Q227" s="180"/>
      <c r="R227" s="180"/>
      <c r="S227" s="180"/>
      <c r="T227" s="180"/>
    </row>
    <row r="228" spans="1:20" s="180" customFormat="1" ht="14.25" hidden="1" customHeight="1" x14ac:dyDescent="0.35">
      <c r="A228" s="254"/>
      <c r="B228" s="254"/>
      <c r="C228" s="254"/>
      <c r="D228" s="254"/>
      <c r="E228" s="254"/>
      <c r="F228" s="254"/>
      <c r="G228" s="254"/>
      <c r="H228" s="254"/>
      <c r="I228" s="253" t="s">
        <v>270</v>
      </c>
      <c r="J228" s="253"/>
      <c r="K228" s="253"/>
      <c r="L228" s="253"/>
      <c r="M228" s="253"/>
      <c r="N228" s="253"/>
      <c r="O228" s="253"/>
      <c r="P228" s="253"/>
      <c r="Q228" s="253"/>
    </row>
    <row r="229" spans="1:20" s="213" customFormat="1" ht="14.25" hidden="1" customHeight="1" x14ac:dyDescent="0.35">
      <c r="A229" s="254"/>
      <c r="B229" s="254"/>
      <c r="C229" s="254"/>
      <c r="D229" s="254"/>
      <c r="E229" s="254"/>
      <c r="F229" s="254"/>
      <c r="G229" s="254"/>
      <c r="H229" s="254"/>
      <c r="I229" s="220"/>
      <c r="K229" s="214" t="s">
        <v>139</v>
      </c>
      <c r="M229" s="214" t="s">
        <v>140</v>
      </c>
      <c r="O229" s="214" t="s">
        <v>141</v>
      </c>
      <c r="Q229" s="214" t="s">
        <v>142</v>
      </c>
      <c r="R229" s="180"/>
      <c r="S229" s="180"/>
      <c r="T229" s="180"/>
    </row>
    <row r="230" spans="1:20" s="213" customFormat="1" ht="14.25" hidden="1" customHeight="1" x14ac:dyDescent="0.35">
      <c r="A230" s="234"/>
      <c r="B230" s="234"/>
      <c r="C230" s="234"/>
      <c r="D230" s="234"/>
      <c r="E230" s="234"/>
      <c r="F230" s="234"/>
      <c r="G230" s="234"/>
      <c r="H230" s="234"/>
      <c r="I230" s="218"/>
      <c r="K230" s="220"/>
      <c r="L230" s="220"/>
      <c r="M230" s="214"/>
      <c r="O230" s="214"/>
      <c r="Q230" s="214"/>
      <c r="R230" s="180"/>
      <c r="S230" s="180"/>
      <c r="T230" s="180"/>
    </row>
    <row r="231" spans="1:20" ht="14.25" hidden="1" customHeight="1" x14ac:dyDescent="0.35">
      <c r="A231" s="372"/>
      <c r="B231" s="372"/>
      <c r="C231" s="372"/>
      <c r="D231" s="372"/>
      <c r="E231" s="372"/>
      <c r="F231" s="372"/>
      <c r="G231" s="372"/>
      <c r="H231" s="372"/>
      <c r="I231" s="218" t="s">
        <v>190</v>
      </c>
      <c r="J231" s="220"/>
      <c r="K231" s="399">
        <f>Q231/4</f>
        <v>1359.75</v>
      </c>
      <c r="L231" s="213"/>
      <c r="M231" s="399">
        <f>Q231/2</f>
        <v>2719.5</v>
      </c>
      <c r="N231" s="213"/>
      <c r="O231" s="399">
        <f>Q231/2</f>
        <v>2719.5</v>
      </c>
      <c r="P231" s="213"/>
      <c r="Q231" s="399">
        <v>5439</v>
      </c>
      <c r="R231" s="180"/>
      <c r="S231" s="180"/>
      <c r="T231" s="180"/>
    </row>
    <row r="232" spans="1:20" ht="14.25" hidden="1" customHeight="1" x14ac:dyDescent="0.35">
      <c r="A232" s="372"/>
      <c r="B232" s="372"/>
      <c r="C232" s="372"/>
      <c r="D232" s="372"/>
      <c r="E232" s="372"/>
      <c r="F232" s="372"/>
      <c r="G232" s="372"/>
      <c r="H232" s="372"/>
      <c r="I232" s="218" t="s">
        <v>198</v>
      </c>
      <c r="J232" s="220"/>
      <c r="K232" s="219">
        <f>K231*$S$108</f>
        <v>1414.14</v>
      </c>
      <c r="L232" s="213"/>
      <c r="M232" s="219">
        <f>M231*$S$108</f>
        <v>2828.28</v>
      </c>
      <c r="N232" s="213"/>
      <c r="O232" s="219">
        <f>O231*$S$108</f>
        <v>2828.28</v>
      </c>
      <c r="P232" s="213"/>
      <c r="Q232" s="219">
        <f>Q231*$S$108</f>
        <v>5656.56</v>
      </c>
      <c r="R232" s="180"/>
      <c r="S232" s="180"/>
      <c r="T232" s="180"/>
    </row>
    <row r="233" spans="1:20" ht="14.25" hidden="1" customHeight="1" x14ac:dyDescent="0.35">
      <c r="A233" s="372"/>
      <c r="B233" s="372"/>
      <c r="C233" s="372"/>
      <c r="D233" s="372"/>
      <c r="E233" s="372"/>
      <c r="F233" s="372"/>
      <c r="G233" s="372"/>
      <c r="H233" s="372"/>
      <c r="I233" s="218" t="s">
        <v>199</v>
      </c>
      <c r="J233" s="220"/>
      <c r="K233" s="219">
        <f t="shared" ref="K233:K238" si="44">K232*$S$108</f>
        <v>1470.7056000000002</v>
      </c>
      <c r="L233" s="213"/>
      <c r="M233" s="219">
        <f t="shared" ref="M233:M238" si="45">M232*$S$108</f>
        <v>2941.4112000000005</v>
      </c>
      <c r="N233" s="213"/>
      <c r="O233" s="219">
        <f t="shared" ref="O233:O238" si="46">O232*$S$108</f>
        <v>2941.4112000000005</v>
      </c>
      <c r="P233" s="213"/>
      <c r="Q233" s="219">
        <f t="shared" ref="Q233:Q238" si="47">Q232*$S$108</f>
        <v>5882.8224000000009</v>
      </c>
      <c r="R233" s="180"/>
      <c r="S233" s="180"/>
      <c r="T233" s="180"/>
    </row>
    <row r="234" spans="1:20" ht="14.25" hidden="1" customHeight="1" x14ac:dyDescent="0.35">
      <c r="A234" s="372"/>
      <c r="B234" s="372"/>
      <c r="C234" s="372"/>
      <c r="D234" s="372"/>
      <c r="E234" s="372"/>
      <c r="F234" s="372"/>
      <c r="G234" s="372"/>
      <c r="H234" s="372"/>
      <c r="I234" s="218" t="s">
        <v>205</v>
      </c>
      <c r="J234" s="220"/>
      <c r="K234" s="219">
        <f t="shared" si="44"/>
        <v>1529.5338240000003</v>
      </c>
      <c r="L234" s="213"/>
      <c r="M234" s="219">
        <f t="shared" si="45"/>
        <v>3059.0676480000006</v>
      </c>
      <c r="N234" s="213"/>
      <c r="O234" s="219">
        <f t="shared" si="46"/>
        <v>3059.0676480000006</v>
      </c>
      <c r="P234" s="213"/>
      <c r="Q234" s="219">
        <f t="shared" si="47"/>
        <v>6118.1352960000013</v>
      </c>
      <c r="R234" s="180"/>
      <c r="S234" s="180"/>
      <c r="T234" s="180"/>
    </row>
    <row r="235" spans="1:20" ht="14.25" hidden="1" customHeight="1" x14ac:dyDescent="0.35">
      <c r="A235" s="372"/>
      <c r="B235" s="372"/>
      <c r="C235" s="372"/>
      <c r="D235" s="372"/>
      <c r="E235" s="372"/>
      <c r="F235" s="372"/>
      <c r="G235" s="372"/>
      <c r="H235" s="372"/>
      <c r="I235" s="218" t="s">
        <v>208</v>
      </c>
      <c r="J235" s="220"/>
      <c r="K235" s="219">
        <f t="shared" si="44"/>
        <v>1590.7151769600005</v>
      </c>
      <c r="L235" s="213"/>
      <c r="M235" s="219">
        <f t="shared" si="45"/>
        <v>3181.4303539200009</v>
      </c>
      <c r="N235" s="213"/>
      <c r="O235" s="219">
        <f t="shared" si="46"/>
        <v>3181.4303539200009</v>
      </c>
      <c r="P235" s="213"/>
      <c r="Q235" s="219">
        <f t="shared" si="47"/>
        <v>6362.8607078400019</v>
      </c>
      <c r="R235" s="180"/>
      <c r="S235" s="180"/>
      <c r="T235" s="180"/>
    </row>
    <row r="236" spans="1:20" ht="14.25" hidden="1" customHeight="1" x14ac:dyDescent="0.35">
      <c r="A236" s="372"/>
      <c r="B236" s="372"/>
      <c r="C236" s="372"/>
      <c r="D236" s="372"/>
      <c r="E236" s="372"/>
      <c r="F236" s="372"/>
      <c r="G236" s="372"/>
      <c r="H236" s="372"/>
      <c r="I236" s="218" t="s">
        <v>211</v>
      </c>
      <c r="J236" s="220"/>
      <c r="K236" s="219">
        <f t="shared" si="44"/>
        <v>1654.3437840384006</v>
      </c>
      <c r="L236" s="213"/>
      <c r="M236" s="219">
        <f t="shared" si="45"/>
        <v>3308.6875680768012</v>
      </c>
      <c r="N236" s="213"/>
      <c r="O236" s="219">
        <f t="shared" si="46"/>
        <v>3308.6875680768012</v>
      </c>
      <c r="P236" s="213"/>
      <c r="Q236" s="219">
        <f t="shared" si="47"/>
        <v>6617.3751361536024</v>
      </c>
      <c r="R236" s="180"/>
      <c r="S236" s="180"/>
      <c r="T236" s="180"/>
    </row>
    <row r="237" spans="1:20" ht="14.25" hidden="1" customHeight="1" x14ac:dyDescent="0.35">
      <c r="A237" s="372"/>
      <c r="B237" s="372"/>
      <c r="C237" s="372"/>
      <c r="D237" s="372"/>
      <c r="E237" s="372"/>
      <c r="F237" s="372"/>
      <c r="G237" s="372"/>
      <c r="H237" s="372"/>
      <c r="I237" s="218" t="s">
        <v>264</v>
      </c>
      <c r="J237" s="220"/>
      <c r="K237" s="219">
        <f t="shared" si="44"/>
        <v>1720.5175353999366</v>
      </c>
      <c r="L237" s="213"/>
      <c r="M237" s="219">
        <f t="shared" si="45"/>
        <v>3441.0350707998732</v>
      </c>
      <c r="N237" s="213"/>
      <c r="O237" s="219">
        <f t="shared" si="46"/>
        <v>3441.0350707998732</v>
      </c>
      <c r="P237" s="213"/>
      <c r="Q237" s="219">
        <f t="shared" si="47"/>
        <v>6882.0701415997464</v>
      </c>
      <c r="R237" s="180"/>
      <c r="S237" s="180"/>
      <c r="T237" s="180"/>
    </row>
    <row r="238" spans="1:20" ht="14.25" hidden="1" customHeight="1" x14ac:dyDescent="0.35">
      <c r="A238" s="372"/>
      <c r="B238" s="372"/>
      <c r="C238" s="372"/>
      <c r="D238" s="372"/>
      <c r="E238" s="372"/>
      <c r="F238" s="372"/>
      <c r="G238" s="372"/>
      <c r="H238" s="372"/>
      <c r="I238" s="218" t="s">
        <v>403</v>
      </c>
      <c r="J238" s="220"/>
      <c r="K238" s="219">
        <f t="shared" si="44"/>
        <v>1789.3382368159341</v>
      </c>
      <c r="L238" s="213"/>
      <c r="M238" s="219">
        <f t="shared" si="45"/>
        <v>3578.6764736318682</v>
      </c>
      <c r="N238" s="213"/>
      <c r="O238" s="219">
        <f t="shared" si="46"/>
        <v>3578.6764736318682</v>
      </c>
      <c r="P238" s="213"/>
      <c r="Q238" s="219">
        <f t="shared" si="47"/>
        <v>7157.3529472637365</v>
      </c>
      <c r="R238" s="180"/>
      <c r="S238" s="180"/>
      <c r="T238" s="180"/>
    </row>
    <row r="239" spans="1:20" ht="14.25" hidden="1" customHeight="1" x14ac:dyDescent="0.35">
      <c r="A239" s="372"/>
      <c r="B239" s="372"/>
      <c r="C239" s="372"/>
      <c r="D239" s="372"/>
      <c r="E239" s="372"/>
      <c r="F239" s="372"/>
      <c r="G239" s="372"/>
      <c r="H239" s="372"/>
      <c r="I239" s="218"/>
      <c r="J239" s="220"/>
      <c r="K239" s="219">
        <v>0</v>
      </c>
      <c r="L239" s="220"/>
      <c r="M239" s="214"/>
      <c r="N239" s="213"/>
      <c r="O239" s="219">
        <v>0</v>
      </c>
      <c r="P239" s="213"/>
      <c r="Q239" s="214"/>
      <c r="R239" s="180"/>
      <c r="S239" s="180"/>
      <c r="T239" s="180"/>
    </row>
    <row r="240" spans="1:20" ht="14.25" hidden="1" customHeight="1" x14ac:dyDescent="0.35">
      <c r="A240" s="372"/>
      <c r="B240" s="372"/>
      <c r="C240" s="372"/>
      <c r="D240" s="372"/>
      <c r="E240" s="372"/>
      <c r="F240" s="372"/>
      <c r="G240" s="372"/>
      <c r="H240" s="372"/>
      <c r="I240" s="218" t="s">
        <v>200</v>
      </c>
      <c r="J240" s="220"/>
      <c r="K240" s="400">
        <f>Q240/4</f>
        <v>1359.75</v>
      </c>
      <c r="L240" s="217"/>
      <c r="M240" s="400">
        <f>Q240/2</f>
        <v>2719.5</v>
      </c>
      <c r="N240" s="217"/>
      <c r="O240" s="400">
        <f>Q240/2</f>
        <v>2719.5</v>
      </c>
      <c r="P240" s="217"/>
      <c r="Q240" s="400">
        <v>5439</v>
      </c>
      <c r="R240" s="180"/>
      <c r="S240" s="180"/>
      <c r="T240" s="180"/>
    </row>
    <row r="241" spans="1:20" ht="14.25" hidden="1" customHeight="1" x14ac:dyDescent="0.35">
      <c r="A241" s="372"/>
      <c r="B241" s="372"/>
      <c r="C241" s="372"/>
      <c r="D241" s="372"/>
      <c r="E241" s="372"/>
      <c r="F241" s="372"/>
      <c r="G241" s="372"/>
      <c r="H241" s="372"/>
      <c r="I241" s="218" t="s">
        <v>201</v>
      </c>
      <c r="J241" s="220"/>
      <c r="K241" s="219">
        <f>M241/2</f>
        <v>1414.14</v>
      </c>
      <c r="L241" s="217"/>
      <c r="M241" s="219">
        <f>O241</f>
        <v>2828.28</v>
      </c>
      <c r="N241" s="217"/>
      <c r="O241" s="219">
        <f>Q241/2</f>
        <v>2828.28</v>
      </c>
      <c r="P241" s="217"/>
      <c r="Q241" s="219">
        <f>Q240*$S$108</f>
        <v>5656.56</v>
      </c>
      <c r="R241" s="180"/>
      <c r="S241" s="180"/>
      <c r="T241" s="180"/>
    </row>
    <row r="242" spans="1:20" ht="14.25" hidden="1" customHeight="1" x14ac:dyDescent="0.35">
      <c r="A242" s="372"/>
      <c r="B242" s="372"/>
      <c r="C242" s="372"/>
      <c r="D242" s="372"/>
      <c r="E242" s="372"/>
      <c r="F242" s="372"/>
      <c r="G242" s="372"/>
      <c r="H242" s="372"/>
      <c r="I242" s="218" t="s">
        <v>204</v>
      </c>
      <c r="J242" s="220"/>
      <c r="K242" s="219">
        <f t="shared" ref="K242:K247" si="48">K241*$S$108</f>
        <v>1470.7056000000002</v>
      </c>
      <c r="L242" s="217"/>
      <c r="M242" s="219">
        <f t="shared" ref="M242:M247" si="49">M241*$S$108</f>
        <v>2941.4112000000005</v>
      </c>
      <c r="N242" s="217"/>
      <c r="O242" s="219">
        <f t="shared" ref="O242:O247" si="50">O241*$S$108</f>
        <v>2941.4112000000005</v>
      </c>
      <c r="P242" s="217"/>
      <c r="Q242" s="219">
        <f>Q241*$S$108</f>
        <v>5882.8224000000009</v>
      </c>
      <c r="R242" s="180"/>
      <c r="S242" s="180"/>
      <c r="T242" s="180"/>
    </row>
    <row r="243" spans="1:20" ht="14.25" hidden="1" customHeight="1" x14ac:dyDescent="0.35">
      <c r="I243" s="218" t="s">
        <v>207</v>
      </c>
      <c r="J243" s="220"/>
      <c r="K243" s="219">
        <f t="shared" si="48"/>
        <v>1529.5338240000003</v>
      </c>
      <c r="L243" s="217"/>
      <c r="M243" s="219">
        <f t="shared" si="49"/>
        <v>3059.0676480000006</v>
      </c>
      <c r="N243" s="217"/>
      <c r="O243" s="219">
        <f t="shared" si="50"/>
        <v>3059.0676480000006</v>
      </c>
      <c r="P243" s="217"/>
      <c r="Q243" s="219">
        <f t="shared" ref="Q243:Q247" si="51">Q242*$S$108</f>
        <v>6118.1352960000013</v>
      </c>
      <c r="R243" s="180"/>
      <c r="S243" s="180"/>
      <c r="T243" s="180"/>
    </row>
    <row r="244" spans="1:20" ht="14.25" hidden="1" customHeight="1" x14ac:dyDescent="0.35">
      <c r="I244" s="218" t="s">
        <v>209</v>
      </c>
      <c r="J244" s="220"/>
      <c r="K244" s="219">
        <f t="shared" si="48"/>
        <v>1590.7151769600005</v>
      </c>
      <c r="L244" s="217"/>
      <c r="M244" s="219">
        <f t="shared" si="49"/>
        <v>3181.4303539200009</v>
      </c>
      <c r="N244" s="217"/>
      <c r="O244" s="219">
        <f t="shared" si="50"/>
        <v>3181.4303539200009</v>
      </c>
      <c r="P244" s="217"/>
      <c r="Q244" s="219">
        <f t="shared" si="51"/>
        <v>6362.8607078400019</v>
      </c>
      <c r="R244" s="180"/>
      <c r="S244" s="180"/>
      <c r="T244" s="180"/>
    </row>
    <row r="245" spans="1:20" ht="14.25" hidden="1" customHeight="1" x14ac:dyDescent="0.35">
      <c r="I245" s="218" t="s">
        <v>265</v>
      </c>
      <c r="J245" s="220"/>
      <c r="K245" s="219">
        <f t="shared" si="48"/>
        <v>1654.3437840384006</v>
      </c>
      <c r="L245" s="217"/>
      <c r="M245" s="219">
        <f t="shared" si="49"/>
        <v>3308.6875680768012</v>
      </c>
      <c r="N245" s="217"/>
      <c r="O245" s="219">
        <f t="shared" si="50"/>
        <v>3308.6875680768012</v>
      </c>
      <c r="P245" s="217"/>
      <c r="Q245" s="219">
        <f t="shared" si="51"/>
        <v>6617.3751361536024</v>
      </c>
      <c r="R245" s="180"/>
      <c r="S245" s="180"/>
      <c r="T245" s="180"/>
    </row>
    <row r="246" spans="1:20" ht="14.25" hidden="1" customHeight="1" x14ac:dyDescent="0.35">
      <c r="I246" s="218" t="s">
        <v>266</v>
      </c>
      <c r="J246" s="220"/>
      <c r="K246" s="219">
        <f t="shared" si="48"/>
        <v>1720.5175353999366</v>
      </c>
      <c r="L246" s="217"/>
      <c r="M246" s="219">
        <f t="shared" si="49"/>
        <v>3441.0350707998732</v>
      </c>
      <c r="N246" s="217"/>
      <c r="O246" s="219">
        <f t="shared" si="50"/>
        <v>3441.0350707998732</v>
      </c>
      <c r="P246" s="217"/>
      <c r="Q246" s="219">
        <f t="shared" si="51"/>
        <v>6882.0701415997464</v>
      </c>
      <c r="R246" s="180"/>
      <c r="S246" s="180"/>
      <c r="T246" s="180"/>
    </row>
    <row r="247" spans="1:20" ht="14.25" hidden="1" customHeight="1" x14ac:dyDescent="0.35">
      <c r="I247" s="218" t="s">
        <v>404</v>
      </c>
      <c r="J247" s="220"/>
      <c r="K247" s="219">
        <f t="shared" si="48"/>
        <v>1789.3382368159341</v>
      </c>
      <c r="L247" s="217"/>
      <c r="M247" s="219">
        <f t="shared" si="49"/>
        <v>3578.6764736318682</v>
      </c>
      <c r="N247" s="217"/>
      <c r="O247" s="219">
        <f t="shared" si="50"/>
        <v>3578.6764736318682</v>
      </c>
      <c r="P247" s="217"/>
      <c r="Q247" s="219">
        <f t="shared" si="51"/>
        <v>7157.3529472637365</v>
      </c>
      <c r="R247" s="180"/>
      <c r="S247" s="180"/>
      <c r="T247" s="180"/>
    </row>
    <row r="248" spans="1:20" ht="14.25" hidden="1" customHeight="1" x14ac:dyDescent="0.35">
      <c r="I248" s="218"/>
      <c r="J248" s="220"/>
      <c r="K248" s="219">
        <v>0</v>
      </c>
      <c r="L248" s="220"/>
      <c r="M248" s="214"/>
      <c r="N248" s="213"/>
      <c r="O248" s="219">
        <v>0</v>
      </c>
      <c r="P248" s="213"/>
      <c r="Q248" s="214"/>
      <c r="R248" s="180"/>
      <c r="S248" s="180"/>
      <c r="T248" s="180"/>
    </row>
    <row r="249" spans="1:20" ht="14.25" hidden="1" customHeight="1" x14ac:dyDescent="0.35">
      <c r="I249" s="218" t="s">
        <v>191</v>
      </c>
      <c r="J249" s="220"/>
      <c r="K249" s="401">
        <f>Q249/4</f>
        <v>756.25</v>
      </c>
      <c r="L249" s="213"/>
      <c r="M249" s="401">
        <f>Q249/2</f>
        <v>1512.5</v>
      </c>
      <c r="N249" s="213"/>
      <c r="O249" s="401">
        <f>Q249/2</f>
        <v>1512.5</v>
      </c>
      <c r="P249" s="222"/>
      <c r="Q249" s="401">
        <v>3025</v>
      </c>
      <c r="R249" s="180"/>
      <c r="S249" s="180"/>
      <c r="T249" s="180"/>
    </row>
    <row r="250" spans="1:20" ht="14.25" hidden="1" customHeight="1" x14ac:dyDescent="0.35">
      <c r="I250" s="218" t="s">
        <v>202</v>
      </c>
      <c r="J250" s="220"/>
      <c r="K250" s="219">
        <f>K249*$S$108</f>
        <v>786.5</v>
      </c>
      <c r="L250" s="213"/>
      <c r="M250" s="219">
        <f>M249*$S$108</f>
        <v>1573</v>
      </c>
      <c r="N250" s="213"/>
      <c r="O250" s="219">
        <f>O249*$S$108</f>
        <v>1573</v>
      </c>
      <c r="P250" s="222"/>
      <c r="Q250" s="219">
        <f>Q249*$S$108</f>
        <v>3146</v>
      </c>
      <c r="R250" s="180"/>
      <c r="S250" s="180"/>
      <c r="T250" s="180"/>
    </row>
    <row r="251" spans="1:20" ht="15.5" hidden="1" x14ac:dyDescent="0.35">
      <c r="I251" s="218" t="s">
        <v>203</v>
      </c>
      <c r="J251" s="220"/>
      <c r="K251" s="219">
        <f t="shared" ref="K251:K256" si="52">K250*$S$108</f>
        <v>817.96</v>
      </c>
      <c r="L251" s="213"/>
      <c r="M251" s="219">
        <f t="shared" ref="M251:M256" si="53">M250*$S$108</f>
        <v>1635.92</v>
      </c>
      <c r="N251" s="213"/>
      <c r="O251" s="219">
        <f t="shared" ref="O251:O256" si="54">O250*$S$108</f>
        <v>1635.92</v>
      </c>
      <c r="P251" s="222"/>
      <c r="Q251" s="219">
        <f t="shared" ref="Q251:Q256" si="55">Q250*$S$108</f>
        <v>3271.84</v>
      </c>
      <c r="R251" s="180"/>
      <c r="S251" s="180"/>
      <c r="T251" s="180"/>
    </row>
    <row r="252" spans="1:20" ht="15.5" hidden="1" x14ac:dyDescent="0.35">
      <c r="I252" s="218" t="s">
        <v>206</v>
      </c>
      <c r="J252" s="220"/>
      <c r="K252" s="219">
        <f t="shared" si="52"/>
        <v>850.67840000000001</v>
      </c>
      <c r="L252" s="213"/>
      <c r="M252" s="219">
        <f t="shared" si="53"/>
        <v>1701.3568</v>
      </c>
      <c r="N252" s="213"/>
      <c r="O252" s="219">
        <f t="shared" si="54"/>
        <v>1701.3568</v>
      </c>
      <c r="P252" s="222"/>
      <c r="Q252" s="219">
        <f t="shared" si="55"/>
        <v>3402.7136</v>
      </c>
      <c r="R252" s="180"/>
      <c r="S252" s="180"/>
      <c r="T252" s="180"/>
    </row>
    <row r="253" spans="1:20" ht="15.5" hidden="1" x14ac:dyDescent="0.35">
      <c r="I253" s="218" t="s">
        <v>210</v>
      </c>
      <c r="J253" s="220"/>
      <c r="K253" s="219">
        <f t="shared" si="52"/>
        <v>884.70553600000005</v>
      </c>
      <c r="L253" s="213"/>
      <c r="M253" s="219">
        <f t="shared" si="53"/>
        <v>1769.4110720000001</v>
      </c>
      <c r="N253" s="213"/>
      <c r="O253" s="219">
        <f t="shared" si="54"/>
        <v>1769.4110720000001</v>
      </c>
      <c r="P253" s="222"/>
      <c r="Q253" s="219">
        <f t="shared" si="55"/>
        <v>3538.8221440000002</v>
      </c>
      <c r="R253" s="180"/>
      <c r="S253" s="180"/>
      <c r="T253" s="180"/>
    </row>
    <row r="254" spans="1:20" ht="15.5" hidden="1" x14ac:dyDescent="0.35">
      <c r="I254" s="218" t="s">
        <v>212</v>
      </c>
      <c r="J254" s="220"/>
      <c r="K254" s="219">
        <f t="shared" si="52"/>
        <v>920.0937574400001</v>
      </c>
      <c r="L254" s="213"/>
      <c r="M254" s="219">
        <f t="shared" si="53"/>
        <v>1840.1875148800002</v>
      </c>
      <c r="N254" s="213"/>
      <c r="O254" s="219">
        <f t="shared" si="54"/>
        <v>1840.1875148800002</v>
      </c>
      <c r="P254" s="222"/>
      <c r="Q254" s="219">
        <f t="shared" si="55"/>
        <v>3680.3750297600004</v>
      </c>
      <c r="R254" s="180"/>
      <c r="S254" s="180"/>
      <c r="T254" s="180"/>
    </row>
    <row r="255" spans="1:20" ht="15.5" hidden="1" x14ac:dyDescent="0.35">
      <c r="I255" s="218" t="s">
        <v>267</v>
      </c>
      <c r="J255" s="220"/>
      <c r="K255" s="219">
        <f t="shared" si="52"/>
        <v>956.89750773760011</v>
      </c>
      <c r="L255" s="213"/>
      <c r="M255" s="219">
        <f t="shared" si="53"/>
        <v>1913.7950154752002</v>
      </c>
      <c r="N255" s="213"/>
      <c r="O255" s="219">
        <f t="shared" si="54"/>
        <v>1913.7950154752002</v>
      </c>
      <c r="P255" s="222"/>
      <c r="Q255" s="219">
        <f t="shared" si="55"/>
        <v>3827.5900309504004</v>
      </c>
      <c r="R255" s="180"/>
      <c r="S255" s="180"/>
      <c r="T255" s="180"/>
    </row>
    <row r="256" spans="1:20" ht="15.5" hidden="1" x14ac:dyDescent="0.35">
      <c r="I256" s="218" t="s">
        <v>405</v>
      </c>
      <c r="J256" s="223"/>
      <c r="K256" s="219">
        <f t="shared" si="52"/>
        <v>995.17340804710409</v>
      </c>
      <c r="L256" s="239"/>
      <c r="M256" s="219">
        <f t="shared" si="53"/>
        <v>1990.3468160942082</v>
      </c>
      <c r="N256" s="239"/>
      <c r="O256" s="219">
        <f t="shared" si="54"/>
        <v>1990.3468160942082</v>
      </c>
      <c r="P256" s="224"/>
      <c r="Q256" s="219">
        <f t="shared" si="55"/>
        <v>3980.6936321884164</v>
      </c>
      <c r="R256" s="180"/>
      <c r="S256" s="180"/>
      <c r="T256" s="180"/>
    </row>
    <row r="257" spans="9:20" ht="15.5" hidden="1" x14ac:dyDescent="0.35">
      <c r="I257" s="253" t="s">
        <v>271</v>
      </c>
      <c r="J257" s="253"/>
      <c r="K257" s="253"/>
      <c r="L257" s="253"/>
      <c r="M257" s="253"/>
      <c r="N257" s="253"/>
      <c r="O257" s="253"/>
      <c r="P257" s="253"/>
      <c r="Q257" s="253"/>
      <c r="R257" s="216"/>
      <c r="S257" s="216"/>
      <c r="T257" s="216"/>
    </row>
    <row r="258" spans="9:20" ht="15.5" hidden="1" x14ac:dyDescent="0.35">
      <c r="I258" s="220"/>
      <c r="J258" s="213"/>
      <c r="K258" s="214" t="s">
        <v>139</v>
      </c>
      <c r="L258" s="213"/>
      <c r="M258" s="214" t="s">
        <v>140</v>
      </c>
      <c r="N258" s="213"/>
      <c r="O258" s="214" t="s">
        <v>141</v>
      </c>
      <c r="P258" s="213"/>
      <c r="Q258" s="214" t="s">
        <v>142</v>
      </c>
      <c r="R258" s="216"/>
      <c r="S258" s="216"/>
      <c r="T258" s="216"/>
    </row>
    <row r="259" spans="9:20" ht="15.5" hidden="1" x14ac:dyDescent="0.35">
      <c r="I259" s="218"/>
      <c r="J259" s="213"/>
      <c r="K259" s="220"/>
      <c r="L259" s="220"/>
      <c r="M259" s="214"/>
      <c r="N259" s="213"/>
      <c r="O259" s="214"/>
      <c r="P259" s="213"/>
      <c r="Q259" s="214"/>
      <c r="R259" s="216"/>
      <c r="S259" s="216"/>
      <c r="T259" s="216"/>
    </row>
    <row r="260" spans="9:20" ht="15.5" hidden="1" x14ac:dyDescent="0.35">
      <c r="I260" s="218" t="s">
        <v>190</v>
      </c>
      <c r="J260" s="220"/>
      <c r="K260" s="399">
        <f>Q260/4</f>
        <v>1429.5</v>
      </c>
      <c r="L260" s="213"/>
      <c r="M260" s="399">
        <f>Q260/2</f>
        <v>2859</v>
      </c>
      <c r="N260" s="213"/>
      <c r="O260" s="399">
        <f>Q260/2</f>
        <v>2859</v>
      </c>
      <c r="P260" s="213"/>
      <c r="Q260" s="399">
        <v>5718</v>
      </c>
      <c r="R260" s="216"/>
      <c r="S260" s="216"/>
      <c r="T260" s="216"/>
    </row>
    <row r="261" spans="9:20" ht="15.5" hidden="1" x14ac:dyDescent="0.35">
      <c r="I261" s="218" t="s">
        <v>198</v>
      </c>
      <c r="J261" s="220"/>
      <c r="K261" s="219">
        <f>K260*$S$108</f>
        <v>1486.68</v>
      </c>
      <c r="L261" s="213"/>
      <c r="M261" s="219">
        <f>M260*$S$108</f>
        <v>2973.36</v>
      </c>
      <c r="N261" s="213"/>
      <c r="O261" s="219">
        <f>O260*$S$108</f>
        <v>2973.36</v>
      </c>
      <c r="P261" s="213"/>
      <c r="Q261" s="219">
        <f>Q260*$S$108</f>
        <v>5946.72</v>
      </c>
      <c r="R261" s="216"/>
      <c r="S261" s="216"/>
      <c r="T261" s="216"/>
    </row>
    <row r="262" spans="9:20" ht="15.5" hidden="1" x14ac:dyDescent="0.35">
      <c r="I262" s="218" t="s">
        <v>199</v>
      </c>
      <c r="J262" s="220"/>
      <c r="K262" s="219">
        <f t="shared" ref="K262:K267" si="56">K261*$S$108</f>
        <v>1546.1472000000001</v>
      </c>
      <c r="L262" s="213"/>
      <c r="M262" s="219">
        <f t="shared" ref="M262:M267" si="57">M261*$S$108</f>
        <v>3092.2944000000002</v>
      </c>
      <c r="N262" s="213"/>
      <c r="O262" s="219">
        <f t="shared" ref="O262:O267" si="58">O261*$S$108</f>
        <v>3092.2944000000002</v>
      </c>
      <c r="P262" s="213"/>
      <c r="Q262" s="219">
        <f t="shared" ref="Q262:Q267" si="59">Q261*$S$108</f>
        <v>6184.5888000000004</v>
      </c>
      <c r="R262" s="216"/>
      <c r="S262" s="216"/>
      <c r="T262" s="216"/>
    </row>
    <row r="263" spans="9:20" ht="15.5" hidden="1" x14ac:dyDescent="0.35">
      <c r="I263" s="218" t="s">
        <v>205</v>
      </c>
      <c r="J263" s="220"/>
      <c r="K263" s="219">
        <f t="shared" si="56"/>
        <v>1607.9930880000002</v>
      </c>
      <c r="L263" s="213"/>
      <c r="M263" s="219">
        <f t="shared" si="57"/>
        <v>3215.9861760000003</v>
      </c>
      <c r="N263" s="213"/>
      <c r="O263" s="219">
        <f t="shared" si="58"/>
        <v>3215.9861760000003</v>
      </c>
      <c r="P263" s="213"/>
      <c r="Q263" s="219">
        <f t="shared" si="59"/>
        <v>6431.9723520000007</v>
      </c>
      <c r="R263" s="216"/>
      <c r="S263" s="216"/>
      <c r="T263" s="216"/>
    </row>
    <row r="264" spans="9:20" ht="15.5" hidden="1" x14ac:dyDescent="0.35">
      <c r="I264" s="218" t="s">
        <v>208</v>
      </c>
      <c r="J264" s="220"/>
      <c r="K264" s="219">
        <f t="shared" si="56"/>
        <v>1672.3128115200002</v>
      </c>
      <c r="L264" s="213"/>
      <c r="M264" s="219">
        <f t="shared" si="57"/>
        <v>3344.6256230400004</v>
      </c>
      <c r="N264" s="213"/>
      <c r="O264" s="219">
        <f t="shared" si="58"/>
        <v>3344.6256230400004</v>
      </c>
      <c r="P264" s="213"/>
      <c r="Q264" s="219">
        <f t="shared" si="59"/>
        <v>6689.2512460800008</v>
      </c>
      <c r="R264" s="216"/>
      <c r="S264" s="216"/>
      <c r="T264" s="216"/>
    </row>
    <row r="265" spans="9:20" ht="15.5" hidden="1" x14ac:dyDescent="0.35">
      <c r="I265" s="218" t="s">
        <v>211</v>
      </c>
      <c r="J265" s="220"/>
      <c r="K265" s="219">
        <f t="shared" si="56"/>
        <v>1739.2053239808004</v>
      </c>
      <c r="L265" s="213"/>
      <c r="M265" s="219">
        <f t="shared" si="57"/>
        <v>3478.4106479616007</v>
      </c>
      <c r="N265" s="213"/>
      <c r="O265" s="219">
        <f t="shared" si="58"/>
        <v>3478.4106479616007</v>
      </c>
      <c r="P265" s="213"/>
      <c r="Q265" s="219">
        <f t="shared" si="59"/>
        <v>6956.8212959232014</v>
      </c>
      <c r="R265" s="216"/>
      <c r="S265" s="216"/>
      <c r="T265" s="216"/>
    </row>
    <row r="266" spans="9:20" ht="15.5" hidden="1" x14ac:dyDescent="0.35">
      <c r="I266" s="218" t="s">
        <v>264</v>
      </c>
      <c r="J266" s="220"/>
      <c r="K266" s="219">
        <f t="shared" si="56"/>
        <v>1808.7735369400325</v>
      </c>
      <c r="L266" s="213"/>
      <c r="M266" s="219">
        <f t="shared" si="57"/>
        <v>3617.547073880065</v>
      </c>
      <c r="N266" s="213"/>
      <c r="O266" s="219">
        <f t="shared" si="58"/>
        <v>3617.547073880065</v>
      </c>
      <c r="P266" s="213"/>
      <c r="Q266" s="219">
        <f t="shared" si="59"/>
        <v>7235.09414776013</v>
      </c>
      <c r="R266" s="216"/>
      <c r="S266" s="216"/>
      <c r="T266" s="216"/>
    </row>
    <row r="267" spans="9:20" ht="15.5" hidden="1" x14ac:dyDescent="0.35">
      <c r="I267" s="218" t="s">
        <v>403</v>
      </c>
      <c r="J267" s="220"/>
      <c r="K267" s="219">
        <f t="shared" si="56"/>
        <v>1881.1244784176338</v>
      </c>
      <c r="L267" s="213"/>
      <c r="M267" s="219">
        <f t="shared" si="57"/>
        <v>3762.2489568352676</v>
      </c>
      <c r="N267" s="213"/>
      <c r="O267" s="219">
        <f t="shared" si="58"/>
        <v>3762.2489568352676</v>
      </c>
      <c r="P267" s="213"/>
      <c r="Q267" s="219">
        <f t="shared" si="59"/>
        <v>7524.4979136705351</v>
      </c>
      <c r="R267" s="216"/>
      <c r="S267" s="216"/>
      <c r="T267" s="216"/>
    </row>
    <row r="268" spans="9:20" ht="15.5" hidden="1" x14ac:dyDescent="0.35">
      <c r="I268" s="218"/>
      <c r="J268" s="220"/>
      <c r="K268" s="219">
        <v>0</v>
      </c>
      <c r="L268" s="220"/>
      <c r="M268" s="214"/>
      <c r="N268" s="213"/>
      <c r="O268" s="219">
        <v>0</v>
      </c>
      <c r="P268" s="213"/>
      <c r="Q268" s="214"/>
      <c r="R268" s="216"/>
      <c r="S268" s="216"/>
      <c r="T268" s="216"/>
    </row>
    <row r="269" spans="9:20" ht="15.5" hidden="1" x14ac:dyDescent="0.35">
      <c r="I269" s="218" t="s">
        <v>200</v>
      </c>
      <c r="J269" s="220"/>
      <c r="K269" s="400">
        <f>Q269/4</f>
        <v>1429.5</v>
      </c>
      <c r="L269" s="217"/>
      <c r="M269" s="400">
        <f>Q269/2</f>
        <v>2859</v>
      </c>
      <c r="N269" s="217"/>
      <c r="O269" s="400">
        <f>Q269/2</f>
        <v>2859</v>
      </c>
      <c r="P269" s="217"/>
      <c r="Q269" s="400">
        <v>5718</v>
      </c>
      <c r="R269" s="216"/>
      <c r="S269" s="216"/>
      <c r="T269" s="216"/>
    </row>
    <row r="270" spans="9:20" ht="15.5" hidden="1" x14ac:dyDescent="0.35">
      <c r="I270" s="218" t="s">
        <v>201</v>
      </c>
      <c r="J270" s="220"/>
      <c r="K270" s="219">
        <f>M270/2</f>
        <v>1486.68</v>
      </c>
      <c r="L270" s="217"/>
      <c r="M270" s="219">
        <f>O270</f>
        <v>2973.36</v>
      </c>
      <c r="N270" s="217"/>
      <c r="O270" s="219">
        <f>Q270/2</f>
        <v>2973.36</v>
      </c>
      <c r="P270" s="217"/>
      <c r="Q270" s="219">
        <f>Q269*$S$108</f>
        <v>5946.72</v>
      </c>
      <c r="R270" s="216"/>
      <c r="S270" s="216"/>
      <c r="T270" s="216"/>
    </row>
    <row r="271" spans="9:20" ht="15.5" hidden="1" x14ac:dyDescent="0.35">
      <c r="I271" s="218" t="s">
        <v>204</v>
      </c>
      <c r="J271" s="220"/>
      <c r="K271" s="219">
        <f t="shared" ref="K271:K276" si="60">K270*$S$108</f>
        <v>1546.1472000000001</v>
      </c>
      <c r="L271" s="217"/>
      <c r="M271" s="219">
        <f t="shared" ref="M271:M276" si="61">M270*$S$108</f>
        <v>3092.2944000000002</v>
      </c>
      <c r="N271" s="217"/>
      <c r="O271" s="219">
        <f t="shared" ref="O271:O276" si="62">O270*$S$108</f>
        <v>3092.2944000000002</v>
      </c>
      <c r="P271" s="217"/>
      <c r="Q271" s="219">
        <f>Q270*$S$108</f>
        <v>6184.5888000000004</v>
      </c>
      <c r="R271" s="216"/>
      <c r="S271" s="216"/>
      <c r="T271" s="216"/>
    </row>
    <row r="272" spans="9:20" ht="15.5" hidden="1" x14ac:dyDescent="0.35">
      <c r="I272" s="218" t="s">
        <v>207</v>
      </c>
      <c r="J272" s="220"/>
      <c r="K272" s="219">
        <f t="shared" si="60"/>
        <v>1607.9930880000002</v>
      </c>
      <c r="L272" s="217"/>
      <c r="M272" s="219">
        <f t="shared" si="61"/>
        <v>3215.9861760000003</v>
      </c>
      <c r="N272" s="217"/>
      <c r="O272" s="219">
        <f t="shared" si="62"/>
        <v>3215.9861760000003</v>
      </c>
      <c r="P272" s="217"/>
      <c r="Q272" s="219">
        <f t="shared" ref="Q272:Q276" si="63">Q271*$S$108</f>
        <v>6431.9723520000007</v>
      </c>
      <c r="R272" s="216"/>
      <c r="S272" s="216"/>
      <c r="T272" s="216"/>
    </row>
    <row r="273" spans="9:20" ht="15.5" hidden="1" x14ac:dyDescent="0.35">
      <c r="I273" s="218" t="s">
        <v>209</v>
      </c>
      <c r="J273" s="220"/>
      <c r="K273" s="219">
        <f t="shared" si="60"/>
        <v>1672.3128115200002</v>
      </c>
      <c r="L273" s="217"/>
      <c r="M273" s="219">
        <f t="shared" si="61"/>
        <v>3344.6256230400004</v>
      </c>
      <c r="N273" s="217"/>
      <c r="O273" s="219">
        <f t="shared" si="62"/>
        <v>3344.6256230400004</v>
      </c>
      <c r="P273" s="217"/>
      <c r="Q273" s="219">
        <f t="shared" si="63"/>
        <v>6689.2512460800008</v>
      </c>
      <c r="R273" s="216"/>
      <c r="S273" s="216"/>
      <c r="T273" s="216"/>
    </row>
    <row r="274" spans="9:20" ht="15.5" hidden="1" x14ac:dyDescent="0.35">
      <c r="I274" s="218" t="s">
        <v>265</v>
      </c>
      <c r="J274" s="220"/>
      <c r="K274" s="219">
        <f t="shared" si="60"/>
        <v>1739.2053239808004</v>
      </c>
      <c r="L274" s="217"/>
      <c r="M274" s="219">
        <f t="shared" si="61"/>
        <v>3478.4106479616007</v>
      </c>
      <c r="N274" s="217"/>
      <c r="O274" s="219">
        <f t="shared" si="62"/>
        <v>3478.4106479616007</v>
      </c>
      <c r="P274" s="217"/>
      <c r="Q274" s="219">
        <f t="shared" si="63"/>
        <v>6956.8212959232014</v>
      </c>
      <c r="R274" s="216"/>
      <c r="S274" s="216"/>
      <c r="T274" s="216"/>
    </row>
    <row r="275" spans="9:20" ht="15.5" hidden="1" x14ac:dyDescent="0.35">
      <c r="I275" s="218" t="s">
        <v>266</v>
      </c>
      <c r="J275" s="220"/>
      <c r="K275" s="219">
        <f t="shared" si="60"/>
        <v>1808.7735369400325</v>
      </c>
      <c r="L275" s="217"/>
      <c r="M275" s="219">
        <f t="shared" si="61"/>
        <v>3617.547073880065</v>
      </c>
      <c r="N275" s="217"/>
      <c r="O275" s="219">
        <f t="shared" si="62"/>
        <v>3617.547073880065</v>
      </c>
      <c r="P275" s="217"/>
      <c r="Q275" s="219">
        <f t="shared" si="63"/>
        <v>7235.09414776013</v>
      </c>
      <c r="R275" s="216"/>
      <c r="S275" s="216"/>
      <c r="T275" s="216"/>
    </row>
    <row r="276" spans="9:20" ht="15.5" hidden="1" x14ac:dyDescent="0.35">
      <c r="I276" s="218" t="s">
        <v>404</v>
      </c>
      <c r="J276" s="220"/>
      <c r="K276" s="219">
        <f t="shared" si="60"/>
        <v>1881.1244784176338</v>
      </c>
      <c r="L276" s="217"/>
      <c r="M276" s="219">
        <f t="shared" si="61"/>
        <v>3762.2489568352676</v>
      </c>
      <c r="N276" s="217"/>
      <c r="O276" s="219">
        <f t="shared" si="62"/>
        <v>3762.2489568352676</v>
      </c>
      <c r="P276" s="217"/>
      <c r="Q276" s="219">
        <f t="shared" si="63"/>
        <v>7524.4979136705351</v>
      </c>
      <c r="R276" s="216"/>
      <c r="S276" s="216"/>
      <c r="T276" s="216"/>
    </row>
    <row r="277" spans="9:20" ht="15.5" hidden="1" x14ac:dyDescent="0.35">
      <c r="I277" s="218"/>
      <c r="J277" s="220"/>
      <c r="K277" s="219">
        <v>0</v>
      </c>
      <c r="L277" s="220"/>
      <c r="M277" s="214"/>
      <c r="N277" s="213"/>
      <c r="O277" s="219">
        <v>0</v>
      </c>
      <c r="P277" s="213"/>
      <c r="Q277" s="214"/>
      <c r="R277" s="216"/>
      <c r="S277" s="216"/>
      <c r="T277" s="216"/>
    </row>
    <row r="278" spans="9:20" ht="15.5" hidden="1" x14ac:dyDescent="0.35">
      <c r="I278" s="218" t="s">
        <v>191</v>
      </c>
      <c r="J278" s="220"/>
      <c r="K278" s="401">
        <f>Q278/4</f>
        <v>795</v>
      </c>
      <c r="L278" s="213"/>
      <c r="M278" s="401">
        <f>Q278/2</f>
        <v>1590</v>
      </c>
      <c r="N278" s="213"/>
      <c r="O278" s="401">
        <f>Q278/2</f>
        <v>1590</v>
      </c>
      <c r="P278" s="222"/>
      <c r="Q278" s="401">
        <v>3180</v>
      </c>
      <c r="R278" s="216"/>
      <c r="S278" s="216"/>
      <c r="T278" s="216"/>
    </row>
    <row r="279" spans="9:20" ht="15.5" hidden="1" x14ac:dyDescent="0.35">
      <c r="I279" s="218" t="s">
        <v>202</v>
      </c>
      <c r="J279" s="220"/>
      <c r="K279" s="219">
        <f>K278*$S$108</f>
        <v>826.80000000000007</v>
      </c>
      <c r="L279" s="213"/>
      <c r="M279" s="219">
        <f>M278*$S$108</f>
        <v>1653.6000000000001</v>
      </c>
      <c r="N279" s="213"/>
      <c r="O279" s="219">
        <f>O278*$S$108</f>
        <v>1653.6000000000001</v>
      </c>
      <c r="P279" s="222"/>
      <c r="Q279" s="219">
        <f>Q278*$S$108</f>
        <v>3307.2000000000003</v>
      </c>
      <c r="R279" s="216"/>
      <c r="S279" s="216"/>
      <c r="T279" s="216"/>
    </row>
    <row r="280" spans="9:20" ht="15.5" hidden="1" x14ac:dyDescent="0.35">
      <c r="I280" s="218" t="s">
        <v>203</v>
      </c>
      <c r="J280" s="220"/>
      <c r="K280" s="219">
        <f t="shared" ref="K280:K285" si="64">K279*$S$108</f>
        <v>859.87200000000007</v>
      </c>
      <c r="L280" s="213"/>
      <c r="M280" s="219">
        <f t="shared" ref="M280:M285" si="65">M279*$S$108</f>
        <v>1719.7440000000001</v>
      </c>
      <c r="N280" s="213"/>
      <c r="O280" s="219">
        <f t="shared" ref="O280:O285" si="66">O279*$S$108</f>
        <v>1719.7440000000001</v>
      </c>
      <c r="P280" s="222"/>
      <c r="Q280" s="219">
        <f t="shared" ref="Q280:Q285" si="67">Q279*$S$108</f>
        <v>3439.4880000000003</v>
      </c>
      <c r="R280" s="216"/>
      <c r="S280" s="216"/>
      <c r="T280" s="216"/>
    </row>
    <row r="281" spans="9:20" ht="15.5" hidden="1" x14ac:dyDescent="0.35">
      <c r="I281" s="218" t="s">
        <v>206</v>
      </c>
      <c r="J281" s="220"/>
      <c r="K281" s="219">
        <f t="shared" si="64"/>
        <v>894.26688000000013</v>
      </c>
      <c r="L281" s="213"/>
      <c r="M281" s="219">
        <f t="shared" si="65"/>
        <v>1788.5337600000003</v>
      </c>
      <c r="N281" s="213"/>
      <c r="O281" s="219">
        <f t="shared" si="66"/>
        <v>1788.5337600000003</v>
      </c>
      <c r="P281" s="222"/>
      <c r="Q281" s="219">
        <f t="shared" si="67"/>
        <v>3577.0675200000005</v>
      </c>
      <c r="R281" s="216"/>
      <c r="S281" s="216"/>
      <c r="T281" s="216"/>
    </row>
    <row r="282" spans="9:20" ht="15.5" hidden="1" x14ac:dyDescent="0.35">
      <c r="I282" s="218" t="s">
        <v>210</v>
      </c>
      <c r="J282" s="220"/>
      <c r="K282" s="219">
        <f t="shared" si="64"/>
        <v>930.03755520000016</v>
      </c>
      <c r="L282" s="213"/>
      <c r="M282" s="219">
        <f t="shared" si="65"/>
        <v>1860.0751104000003</v>
      </c>
      <c r="N282" s="213"/>
      <c r="O282" s="219">
        <f t="shared" si="66"/>
        <v>1860.0751104000003</v>
      </c>
      <c r="P282" s="222"/>
      <c r="Q282" s="219">
        <f t="shared" si="67"/>
        <v>3720.1502208000006</v>
      </c>
      <c r="R282" s="216"/>
      <c r="S282" s="216"/>
      <c r="T282" s="216"/>
    </row>
    <row r="283" spans="9:20" ht="15.5" hidden="1" x14ac:dyDescent="0.35">
      <c r="I283" s="218" t="s">
        <v>212</v>
      </c>
      <c r="J283" s="220"/>
      <c r="K283" s="219">
        <f t="shared" si="64"/>
        <v>967.23905740800024</v>
      </c>
      <c r="L283" s="213"/>
      <c r="M283" s="219">
        <f t="shared" si="65"/>
        <v>1934.4781148160005</v>
      </c>
      <c r="N283" s="213"/>
      <c r="O283" s="219">
        <f t="shared" si="66"/>
        <v>1934.4781148160005</v>
      </c>
      <c r="P283" s="222"/>
      <c r="Q283" s="219">
        <f t="shared" si="67"/>
        <v>3868.9562296320009</v>
      </c>
      <c r="R283" s="216"/>
      <c r="S283" s="216"/>
      <c r="T283" s="216"/>
    </row>
    <row r="284" spans="9:20" ht="15.5" hidden="1" x14ac:dyDescent="0.35">
      <c r="I284" s="218" t="s">
        <v>267</v>
      </c>
      <c r="J284" s="220"/>
      <c r="K284" s="219">
        <f t="shared" si="64"/>
        <v>1005.9286197043202</v>
      </c>
      <c r="L284" s="213"/>
      <c r="M284" s="219">
        <f t="shared" si="65"/>
        <v>2011.8572394086405</v>
      </c>
      <c r="N284" s="213"/>
      <c r="O284" s="219">
        <f t="shared" si="66"/>
        <v>2011.8572394086405</v>
      </c>
      <c r="P284" s="222"/>
      <c r="Q284" s="219">
        <f t="shared" si="67"/>
        <v>4023.7144788172809</v>
      </c>
      <c r="R284" s="216"/>
      <c r="S284" s="216"/>
      <c r="T284" s="216"/>
    </row>
    <row r="285" spans="9:20" ht="15.5" hidden="1" x14ac:dyDescent="0.35">
      <c r="I285" s="218" t="s">
        <v>405</v>
      </c>
      <c r="J285" s="223"/>
      <c r="K285" s="219">
        <f t="shared" si="64"/>
        <v>1046.1657644924931</v>
      </c>
      <c r="L285" s="239"/>
      <c r="M285" s="219">
        <f t="shared" si="65"/>
        <v>2092.3315289849861</v>
      </c>
      <c r="N285" s="239"/>
      <c r="O285" s="219">
        <f t="shared" si="66"/>
        <v>2092.3315289849861</v>
      </c>
      <c r="P285" s="224"/>
      <c r="Q285" s="219">
        <f t="shared" si="67"/>
        <v>4184.6630579699722</v>
      </c>
      <c r="R285" s="240"/>
      <c r="S285" s="240"/>
      <c r="T285" s="216"/>
    </row>
  </sheetData>
  <sheetProtection algorithmName="SHA-512" hashValue="DdcNMjkYqk2VX2br96/5PW+cSvqRqylSMk64KX69dQafUJ9YSLtIAhUweZzxezDt/PWbuRCCkKAWteOZgn7HBw==" saltValue="VDIXK521Ehm7a1t6tpC9aQ==" spinCount="100000" sheet="1" selectLockedCells="1"/>
  <mergeCells count="62">
    <mergeCell ref="A100:A104"/>
    <mergeCell ref="C100:D100"/>
    <mergeCell ref="C102:D102"/>
    <mergeCell ref="C104:D104"/>
    <mergeCell ref="C87:F87"/>
    <mergeCell ref="C88:F88"/>
    <mergeCell ref="C89:F89"/>
    <mergeCell ref="C92:H92"/>
    <mergeCell ref="A94:A98"/>
    <mergeCell ref="C94:D94"/>
    <mergeCell ref="C96:D96"/>
    <mergeCell ref="C98:D98"/>
    <mergeCell ref="A85:I86"/>
    <mergeCell ref="C28:F28"/>
    <mergeCell ref="C31:H31"/>
    <mergeCell ref="A13:A17"/>
    <mergeCell ref="C13:D13"/>
    <mergeCell ref="C15:D15"/>
    <mergeCell ref="C17:D17"/>
    <mergeCell ref="C27:F27"/>
    <mergeCell ref="A19:A23"/>
    <mergeCell ref="C19:D19"/>
    <mergeCell ref="C21:D21"/>
    <mergeCell ref="C23:D23"/>
    <mergeCell ref="C26:F26"/>
    <mergeCell ref="A33:A37"/>
    <mergeCell ref="C33:D33"/>
    <mergeCell ref="C35:D35"/>
    <mergeCell ref="C3:I3"/>
    <mergeCell ref="C6:F6"/>
    <mergeCell ref="C7:F7"/>
    <mergeCell ref="C8:F8"/>
    <mergeCell ref="C11:H11"/>
    <mergeCell ref="C37:D37"/>
    <mergeCell ref="A39:A43"/>
    <mergeCell ref="C39:D39"/>
    <mergeCell ref="C41:D41"/>
    <mergeCell ref="C43:D43"/>
    <mergeCell ref="C46:F46"/>
    <mergeCell ref="C47:F47"/>
    <mergeCell ref="C48:F48"/>
    <mergeCell ref="C51:H51"/>
    <mergeCell ref="C67:F67"/>
    <mergeCell ref="A53:A57"/>
    <mergeCell ref="C53:D53"/>
    <mergeCell ref="C55:D55"/>
    <mergeCell ref="C57:D57"/>
    <mergeCell ref="A59:A63"/>
    <mergeCell ref="C59:D59"/>
    <mergeCell ref="C61:D61"/>
    <mergeCell ref="C63:D63"/>
    <mergeCell ref="C82:D82"/>
    <mergeCell ref="C84:D84"/>
    <mergeCell ref="C78:D78"/>
    <mergeCell ref="A80:A84"/>
    <mergeCell ref="C68:F68"/>
    <mergeCell ref="C69:F69"/>
    <mergeCell ref="C72:H72"/>
    <mergeCell ref="A74:A78"/>
    <mergeCell ref="C74:D74"/>
    <mergeCell ref="C76:D76"/>
    <mergeCell ref="C80:D80"/>
  </mergeCells>
  <dataValidations count="7">
    <dataValidation type="list" allowBlank="1" showInputMessage="1" showErrorMessage="1" sqref="K94 M94 O94 Q94 S94 K33 M33 O33 Q33 S33 K53 M53 O53 Q53 S53 K74 M74 O74 Q74 S74 K13 M13 O13 Q13 S13" xr:uid="{00000000-0002-0000-0100-000000000000}">
      <formula1>$I$129:$I$136</formula1>
    </dataValidation>
    <dataValidation type="list" allowBlank="1" showInputMessage="1" showErrorMessage="1" sqref="K30 S50 M50 Q50 O50 K50 S30 Q10:Q11 M10:M11 M30 Q30 O30 K10:K11 S10:S11 O10:O11" xr:uid="{00000000-0002-0000-0100-000001000000}">
      <formula1>$I$120:$I$125</formula1>
    </dataValidation>
    <dataValidation type="list" allowBlank="1" showInputMessage="1" showErrorMessage="1" sqref="I6 I46 I26 I67 I87" xr:uid="{00000000-0002-0000-0100-000002000000}">
      <formula1>$S$109:$S$110</formula1>
    </dataValidation>
    <dataValidation type="list" allowBlank="1" showInputMessage="1" showErrorMessage="1" sqref="S100 Q100 O100 M100 K100 S39 Q39 O39 M39 K39 S59 Q59 O59 M59 K59 S80 Q80 O80 M80 K80 S19 Q19 O19 M19 K19" xr:uid="{00000000-0002-0000-0100-000003000000}">
      <formula1>$I$128:$I$136</formula1>
    </dataValidation>
    <dataValidation type="list" allowBlank="1" showInputMessage="1" showErrorMessage="1" sqref="K96 M96 O96 Q96 S96 K102 M102 O102 Q102 S102 K35 M35 O35 Q35 S35 K41 M41 O41 Q41 S41 K55 M55 O55 Q55 S55 K61 M61 O61 Q61 S61 K76 M76 O76 Q76 S76 K82 M82 O82 Q82 S82 K15 M15 O15 Q15 S15 K21 M21 O21 Q21 S21" xr:uid="{00000000-0002-0000-0100-000004000000}">
      <formula1>$I$111:$I$118</formula1>
    </dataValidation>
    <dataValidation type="list" allowBlank="1" showInputMessage="1" showErrorMessage="1" sqref="K98 S104 Q104 O104 M104 K104 S98 Q98 O98 M98 K37 S43 Q43 O43 M43 K43 S37 Q37 O37 M37 K57 S63 Q63 O63 M63 K63 S57 Q57 O57 M57 K78 S84 Q84 O84 M84 K84 S78 Q78 O78 M78 K17 S23 Q23 O23 M23 K23 S17 Q17 O17 M17" xr:uid="{00000000-0002-0000-0100-000005000000}">
      <formula1>$I$120:$I$127</formula1>
    </dataValidation>
    <dataValidation type="list" allowBlank="1" showInputMessage="1" showErrorMessage="1" sqref="S71 M71 Q71 O71 K71 S91 M91 Q91 O91 K91" xr:uid="{00000000-0002-0000-0100-000006000000}">
      <formula1>$I$119:$I$124</formula1>
    </dataValidation>
  </dataValidations>
  <pageMargins left="0.25" right="0.25" top="1" bottom="1" header="0.5" footer="0.5"/>
  <pageSetup scale="83"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heetViews>
  <sheetFormatPr defaultRowHeight="10"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83"/>
  <sheetViews>
    <sheetView topLeftCell="A4" workbookViewId="0">
      <selection activeCell="K30" sqref="K30:K31"/>
    </sheetView>
  </sheetViews>
  <sheetFormatPr defaultColWidth="19" defaultRowHeight="12.5" x14ac:dyDescent="0.25"/>
  <cols>
    <col min="1" max="1" width="30.109375" style="257" bestFit="1" customWidth="1"/>
    <col min="2" max="2" width="12.77734375" style="257" customWidth="1"/>
    <col min="3" max="3" width="13.33203125" style="257" hidden="1" customWidth="1"/>
    <col min="4" max="4" width="28.109375" style="257" customWidth="1"/>
    <col min="5" max="5" width="19" style="257" bestFit="1" customWidth="1"/>
    <col min="6" max="6" width="13.77734375" style="257" bestFit="1" customWidth="1"/>
    <col min="7" max="7" width="16.109375" style="257" hidden="1" customWidth="1"/>
    <col min="8" max="8" width="10.44140625" style="257" bestFit="1" customWidth="1"/>
    <col min="9" max="9" width="17.6640625" style="257" bestFit="1" customWidth="1"/>
    <col min="10" max="10" width="16.33203125" style="257" bestFit="1" customWidth="1"/>
    <col min="11" max="11" width="31.33203125" style="257" bestFit="1" customWidth="1"/>
    <col min="12" max="12" width="15.33203125" style="257" bestFit="1" customWidth="1"/>
    <col min="13" max="13" width="13.33203125" style="257" bestFit="1" customWidth="1"/>
    <col min="14" max="16384" width="19" style="257"/>
  </cols>
  <sheetData>
    <row r="1" spans="1:13" ht="13" x14ac:dyDescent="0.3">
      <c r="D1" s="258" t="s">
        <v>220</v>
      </c>
    </row>
    <row r="3" spans="1:13" ht="13" x14ac:dyDescent="0.3">
      <c r="A3" s="258" t="s">
        <v>221</v>
      </c>
      <c r="B3" s="259" t="s">
        <v>222</v>
      </c>
    </row>
    <row r="4" spans="1:13" ht="13" x14ac:dyDescent="0.3">
      <c r="A4" s="258"/>
      <c r="B4" s="259" t="s">
        <v>223</v>
      </c>
    </row>
    <row r="5" spans="1:13" ht="13" x14ac:dyDescent="0.3">
      <c r="A5" s="258"/>
      <c r="B5" s="259"/>
    </row>
    <row r="6" spans="1:13" ht="13" hidden="1" x14ac:dyDescent="0.3">
      <c r="A6" s="258"/>
      <c r="B6" s="259" t="s">
        <v>224</v>
      </c>
    </row>
    <row r="7" spans="1:13" ht="13" hidden="1" x14ac:dyDescent="0.3">
      <c r="A7" s="258"/>
      <c r="B7" s="259" t="s">
        <v>225</v>
      </c>
    </row>
    <row r="8" spans="1:13" ht="13" hidden="1" x14ac:dyDescent="0.3">
      <c r="A8" s="258"/>
      <c r="B8" s="259"/>
    </row>
    <row r="9" spans="1:13" ht="13" x14ac:dyDescent="0.3">
      <c r="A9" s="258"/>
      <c r="B9" s="259" t="s">
        <v>226</v>
      </c>
    </row>
    <row r="10" spans="1:13" ht="13.5" thickBot="1" x14ac:dyDescent="0.35">
      <c r="A10" s="258"/>
      <c r="B10" s="259"/>
    </row>
    <row r="11" spans="1:13" ht="13" x14ac:dyDescent="0.3">
      <c r="A11" s="258"/>
      <c r="B11" s="260"/>
      <c r="C11" s="261"/>
      <c r="D11" s="262" t="s">
        <v>227</v>
      </c>
      <c r="E11" s="261"/>
      <c r="F11" s="261"/>
      <c r="G11" s="261"/>
      <c r="H11" s="261"/>
      <c r="I11" s="262" t="s">
        <v>228</v>
      </c>
    </row>
    <row r="12" spans="1:13" ht="13.5" thickBot="1" x14ac:dyDescent="0.35">
      <c r="A12" s="263" t="s">
        <v>229</v>
      </c>
      <c r="B12" s="264"/>
      <c r="C12" s="265"/>
      <c r="D12" s="266">
        <f>D22+D32+D42+D52+D62+D72+D82</f>
        <v>296425</v>
      </c>
      <c r="E12" s="265"/>
      <c r="F12" s="265"/>
      <c r="G12" s="265"/>
      <c r="H12" s="265"/>
      <c r="I12" s="266">
        <f>I22+I32+I42+I52+I62+I72+I82</f>
        <v>157105</v>
      </c>
    </row>
    <row r="15" spans="1:13" ht="26.5" thickBot="1" x14ac:dyDescent="0.35">
      <c r="A15" s="267" t="s">
        <v>230</v>
      </c>
      <c r="B15" s="268" t="s">
        <v>231</v>
      </c>
      <c r="C15" s="269" t="s">
        <v>232</v>
      </c>
      <c r="D15" s="270" t="s">
        <v>233</v>
      </c>
      <c r="E15" s="269" t="s">
        <v>232</v>
      </c>
      <c r="F15" s="271"/>
      <c r="G15" s="269" t="s">
        <v>232</v>
      </c>
      <c r="H15" s="259"/>
      <c r="I15" s="269" t="s">
        <v>232</v>
      </c>
      <c r="J15" s="269" t="s">
        <v>232</v>
      </c>
      <c r="K15" s="272" t="s">
        <v>234</v>
      </c>
      <c r="L15" s="273"/>
    </row>
    <row r="16" spans="1:13" ht="13.5" thickBot="1" x14ac:dyDescent="0.35">
      <c r="A16" s="259"/>
      <c r="B16" s="268" t="s">
        <v>235</v>
      </c>
      <c r="C16" s="274" t="s">
        <v>236</v>
      </c>
      <c r="D16" s="275" t="s">
        <v>237</v>
      </c>
      <c r="E16" s="276" t="s">
        <v>238</v>
      </c>
      <c r="F16" s="274" t="s">
        <v>239</v>
      </c>
      <c r="G16" s="274" t="s">
        <v>240</v>
      </c>
      <c r="H16" s="277" t="s">
        <v>241</v>
      </c>
      <c r="I16" s="277" t="s">
        <v>242</v>
      </c>
      <c r="J16" s="278" t="s">
        <v>243</v>
      </c>
      <c r="K16" s="279" t="s">
        <v>244</v>
      </c>
      <c r="L16" s="280" t="s">
        <v>245</v>
      </c>
      <c r="M16" s="279" t="s">
        <v>246</v>
      </c>
    </row>
    <row r="17" spans="1:13" ht="13.5" thickBot="1" x14ac:dyDescent="0.35">
      <c r="A17" s="281" t="s">
        <v>247</v>
      </c>
      <c r="B17" s="351">
        <f>NSF5GPG!G17</f>
        <v>44440</v>
      </c>
      <c r="C17" s="283">
        <f>ROUND(IF((B17=0),0,(B18-B17))/30,0)</f>
        <v>12</v>
      </c>
      <c r="D17" s="284">
        <f>NSF5GPG!L77</f>
        <v>50000</v>
      </c>
      <c r="E17" s="285">
        <f>IF(ISERROR(D17/F22),0,(D17/F22))</f>
        <v>136.98630136986301</v>
      </c>
      <c r="F17" s="286">
        <f>IF(OR($B$18&lt;$K17,$B$17&gt;$L17),0,(MIN($B$18,$L17)-MAX($B$17,$K17)+1))</f>
        <v>0</v>
      </c>
      <c r="G17" s="286">
        <f>ROUND(IF(ISERROR(F17/365),0,(F17/365)*12),2)</f>
        <v>0</v>
      </c>
      <c r="H17" s="287">
        <f>IF(OR($B$18&lt;$K17,$B$17&gt;$L17),0,M17)</f>
        <v>0</v>
      </c>
      <c r="I17" s="288">
        <f>(F17*$E$17)*H17</f>
        <v>0</v>
      </c>
      <c r="J17" s="289">
        <f>IF(ISERROR(I17/H17),0,(I17/H17))</f>
        <v>0</v>
      </c>
      <c r="K17" s="290">
        <v>42552</v>
      </c>
      <c r="L17" s="291">
        <v>42916</v>
      </c>
      <c r="M17" s="292">
        <v>0.52</v>
      </c>
    </row>
    <row r="18" spans="1:13" ht="13.5" thickBot="1" x14ac:dyDescent="0.35">
      <c r="A18" s="293" t="s">
        <v>248</v>
      </c>
      <c r="B18" s="282">
        <f>IF(years=1,NSF5GPG!G18,'F&amp;A Calculation- Sponsor Funds'!B17+364)</f>
        <v>44804</v>
      </c>
      <c r="C18" s="294"/>
      <c r="D18" s="295"/>
      <c r="E18" s="296"/>
      <c r="F18" s="286">
        <f>IF(OR($B$18&lt;$K18,$B$17&gt;$L18),0,(MIN($B$18,$L18)-MAX($B$17,$K18)+1))</f>
        <v>0</v>
      </c>
      <c r="G18" s="286">
        <f>ROUND(IF(ISERROR(F18/365),0,(F18/365)*12),2)</f>
        <v>0</v>
      </c>
      <c r="H18" s="287">
        <f>IF(OR($B$18&lt;$K18,$B$17&gt;$L18),0,M18)</f>
        <v>0</v>
      </c>
      <c r="I18" s="288">
        <f>(F18*$E$17)*H18</f>
        <v>0</v>
      </c>
      <c r="J18" s="289">
        <f>IF(ISERROR(I18/H18),0,(I18/H18))</f>
        <v>0</v>
      </c>
      <c r="K18" s="290">
        <v>42917</v>
      </c>
      <c r="L18" s="291">
        <v>43281</v>
      </c>
      <c r="M18" s="292">
        <v>0.52</v>
      </c>
    </row>
    <row r="19" spans="1:13" x14ac:dyDescent="0.25">
      <c r="C19" s="297"/>
      <c r="D19" s="295"/>
      <c r="E19" s="296"/>
      <c r="F19" s="286">
        <f>IF(OR($B$18&lt;$K19,$B$17&gt;$L19),0,(MIN($B$18,$L19)-MAX($B$17,$K19)+1))</f>
        <v>0</v>
      </c>
      <c r="G19" s="286">
        <f>ROUND(IF(ISERROR(F19/365),0,(F19/365)*12),2)</f>
        <v>0</v>
      </c>
      <c r="H19" s="287">
        <f>IF(OR($B$18&lt;$K19,$B$17&gt;$L19),0,M19)</f>
        <v>0</v>
      </c>
      <c r="I19" s="288">
        <f>(F19*$E$17)*H19</f>
        <v>0</v>
      </c>
      <c r="J19" s="289">
        <f>IF(ISERROR(I19/H19),0,(I19/H19))</f>
        <v>0</v>
      </c>
      <c r="K19" s="290">
        <v>43282</v>
      </c>
      <c r="L19" s="291">
        <v>43646</v>
      </c>
      <c r="M19" s="292">
        <v>0.53</v>
      </c>
    </row>
    <row r="20" spans="1:13" x14ac:dyDescent="0.25">
      <c r="A20" s="259"/>
      <c r="C20" s="298"/>
      <c r="D20" s="295"/>
      <c r="E20" s="296"/>
      <c r="F20" s="286">
        <f>IF(OR($B$18&lt;$K20,$B$17&gt;$L20),0,(MIN($B$18,$L20)-MAX($B$17,$K20)+1))</f>
        <v>0</v>
      </c>
      <c r="G20" s="286">
        <f>ROUND(IF(ISERROR(F20/365),0,(F20/365)*12),2)</f>
        <v>0</v>
      </c>
      <c r="H20" s="287">
        <f>IF(OR($B$18&lt;$K20,$B$17&gt;$L20),0,M20)</f>
        <v>0</v>
      </c>
      <c r="I20" s="288">
        <f>(F20*$E$17)*H20</f>
        <v>0</v>
      </c>
      <c r="J20" s="289">
        <f>IF(ISERROR(I20/H20),0,(I20/H20))</f>
        <v>0</v>
      </c>
      <c r="K20" s="290">
        <v>43647</v>
      </c>
      <c r="L20" s="291">
        <v>44012</v>
      </c>
      <c r="M20" s="292">
        <v>0.53</v>
      </c>
    </row>
    <row r="21" spans="1:13" x14ac:dyDescent="0.25">
      <c r="B21" s="299"/>
      <c r="C21" s="300"/>
      <c r="D21" s="301"/>
      <c r="E21" s="302"/>
      <c r="F21" s="303">
        <f>IF(OR($B$18&lt;$K21,$B$17&gt;$L21),0,(MIN($B$18,$L21)-MAX($B$17,$K21)+1))</f>
        <v>365</v>
      </c>
      <c r="G21" s="303">
        <f>ROUND(IF(ISERROR(F21/365),0,(F21/365)*12),2)</f>
        <v>12</v>
      </c>
      <c r="H21" s="304">
        <f>IF(OR($B$18&lt;$K21,$B$17&gt;$L21),0,M21)</f>
        <v>0.53</v>
      </c>
      <c r="I21" s="305">
        <f>(F21*$E$17)*H21</f>
        <v>26500</v>
      </c>
      <c r="J21" s="306">
        <f>IF(ISERROR(I21/H21),0,(I21/H21))</f>
        <v>50000</v>
      </c>
      <c r="K21" s="290">
        <v>44013</v>
      </c>
      <c r="L21" s="291">
        <v>47664</v>
      </c>
      <c r="M21" s="292">
        <v>0.53</v>
      </c>
    </row>
    <row r="22" spans="1:13" ht="13" x14ac:dyDescent="0.3">
      <c r="B22" s="307" t="s">
        <v>249</v>
      </c>
      <c r="C22" s="308"/>
      <c r="D22" s="309">
        <f>SUM(D17:D21)</f>
        <v>50000</v>
      </c>
      <c r="E22" s="310"/>
      <c r="F22" s="311">
        <f>SUM(F17:F21)</f>
        <v>365</v>
      </c>
      <c r="G22" s="312">
        <f>SUM(G17:G21)</f>
        <v>12</v>
      </c>
      <c r="H22" s="313">
        <f>AVERAGEIF(H17:H21,"&lt;&gt;0")</f>
        <v>0.53</v>
      </c>
      <c r="I22" s="314">
        <f>ROUND(SUM(I17:I21),0)</f>
        <v>26500</v>
      </c>
      <c r="J22" s="315">
        <f>SUM(J17:J21)</f>
        <v>50000</v>
      </c>
      <c r="K22" s="316"/>
      <c r="L22" s="316"/>
      <c r="M22" s="316"/>
    </row>
    <row r="23" spans="1:13" x14ac:dyDescent="0.25">
      <c r="F23" s="317"/>
      <c r="G23" s="271"/>
    </row>
    <row r="24" spans="1:13" ht="14.25" customHeight="1" x14ac:dyDescent="0.25">
      <c r="F24" s="271"/>
      <c r="G24" s="271"/>
    </row>
    <row r="25" spans="1:13" ht="18" customHeight="1" thickBot="1" x14ac:dyDescent="0.35">
      <c r="A25" s="267" t="s">
        <v>250</v>
      </c>
      <c r="B25" s="268" t="s">
        <v>231</v>
      </c>
      <c r="C25" s="269" t="s">
        <v>232</v>
      </c>
      <c r="D25" s="270" t="s">
        <v>233</v>
      </c>
      <c r="E25" s="269" t="s">
        <v>232</v>
      </c>
      <c r="F25" s="271"/>
      <c r="G25" s="269" t="s">
        <v>232</v>
      </c>
      <c r="H25" s="259"/>
      <c r="I25" s="269" t="s">
        <v>232</v>
      </c>
      <c r="J25" s="269" t="s">
        <v>232</v>
      </c>
    </row>
    <row r="26" spans="1:13" ht="13.5" thickBot="1" x14ac:dyDescent="0.35">
      <c r="A26" s="259"/>
      <c r="B26" s="268" t="s">
        <v>235</v>
      </c>
      <c r="C26" s="318" t="s">
        <v>236</v>
      </c>
      <c r="D26" s="275" t="s">
        <v>237</v>
      </c>
      <c r="E26" s="276" t="s">
        <v>238</v>
      </c>
      <c r="F26" s="274" t="s">
        <v>239</v>
      </c>
      <c r="G26" s="274" t="s">
        <v>240</v>
      </c>
      <c r="H26" s="277" t="s">
        <v>241</v>
      </c>
      <c r="I26" s="277" t="s">
        <v>242</v>
      </c>
      <c r="J26" s="278" t="s">
        <v>243</v>
      </c>
    </row>
    <row r="27" spans="1:13" ht="13.5" thickBot="1" x14ac:dyDescent="0.35">
      <c r="A27" s="281" t="s">
        <v>247</v>
      </c>
      <c r="B27" s="282">
        <f>IF(years&gt;1,B17,0)</f>
        <v>44440</v>
      </c>
      <c r="C27" s="283">
        <f>ROUND(IF((B27=0),0,(B28-B27))/30,0)</f>
        <v>12</v>
      </c>
      <c r="D27" s="284">
        <f>NSF5GPG!AA77</f>
        <v>60185</v>
      </c>
      <c r="E27" s="285">
        <f>IF(ISERROR(D27/F32),0,(D27/F32))</f>
        <v>164.89041095890411</v>
      </c>
      <c r="F27" s="286">
        <f>IF(OR($B$28&lt;$K17,$B$27&gt;$L17),0,(MIN($B$28,$L17)-MAX($B$27,$K17)+1))</f>
        <v>0</v>
      </c>
      <c r="G27" s="286">
        <f>ROUND(IF(ISERROR(F27/365),0,(F27/365))*12,0)</f>
        <v>0</v>
      </c>
      <c r="H27" s="287">
        <f>IF(OR($B$28&lt;$K17,$B$27&gt;$L17),0,M17)</f>
        <v>0</v>
      </c>
      <c r="I27" s="288">
        <f>(F27*$E$27)*H27</f>
        <v>0</v>
      </c>
      <c r="J27" s="289">
        <f>IF(ISERROR(I27/H27),0,(I27/H27))</f>
        <v>0</v>
      </c>
    </row>
    <row r="28" spans="1:13" ht="13.5" thickBot="1" x14ac:dyDescent="0.35">
      <c r="A28" s="293" t="s">
        <v>248</v>
      </c>
      <c r="B28" s="282">
        <f>IF(years=2,NSF5GPG!G18,B27+364)</f>
        <v>44804</v>
      </c>
      <c r="D28" s="295"/>
      <c r="E28" s="296"/>
      <c r="F28" s="286">
        <f>IF(OR($B$28&lt;$K18,$B$27&gt;$L18),0,(MIN($B$28,$L18)-MAX($B$27,$K18)+1))</f>
        <v>0</v>
      </c>
      <c r="G28" s="286">
        <f>ROUND(IF(ISERROR(F28/365),0,(F28/365))*12,0)</f>
        <v>0</v>
      </c>
      <c r="H28" s="287">
        <f>IF(OR($B$28&lt;$K18,$B$27&gt;$L18),0,M18)</f>
        <v>0</v>
      </c>
      <c r="I28" s="288">
        <f>(F28*$E$27)*H28</f>
        <v>0</v>
      </c>
      <c r="J28" s="289">
        <f>IF(ISERROR(I28/H28),0,(I28/H28))</f>
        <v>0</v>
      </c>
    </row>
    <row r="29" spans="1:13" x14ac:dyDescent="0.25">
      <c r="C29" s="298"/>
      <c r="D29" s="295"/>
      <c r="E29" s="296"/>
      <c r="F29" s="286">
        <f>IF(OR($B$28&lt;$K19,$B$27&gt;$L19),0,(MIN($B$28,$L19)-MAX($B$27,$K19)+1))</f>
        <v>0</v>
      </c>
      <c r="G29" s="286">
        <f>ROUND(IF(ISERROR(F29/365),0,(F29/365))*12,0)</f>
        <v>0</v>
      </c>
      <c r="H29" s="287">
        <f>IF(OR($B$28&lt;$K19,$B$27&gt;$L19),0,M19)</f>
        <v>0</v>
      </c>
      <c r="I29" s="288">
        <f>(F29*$E$27)*H29</f>
        <v>0</v>
      </c>
      <c r="J29" s="289">
        <f>IF(ISERROR(I29/H29),0,(I29/H29))</f>
        <v>0</v>
      </c>
    </row>
    <row r="30" spans="1:13" x14ac:dyDescent="0.25">
      <c r="A30" s="259"/>
      <c r="C30" s="298"/>
      <c r="D30" s="295"/>
      <c r="E30" s="296"/>
      <c r="F30" s="286">
        <f>IF(OR($B$28&lt;$K20,$B$27&gt;$L20),0,(MIN($B$28,$L20)-MAX($B$27,$K20)+1))</f>
        <v>0</v>
      </c>
      <c r="G30" s="286">
        <f>ROUND(IF(ISERROR(F30/365),0,(F30/365))*12,0)</f>
        <v>0</v>
      </c>
      <c r="H30" s="287">
        <f>IF(OR($B$28&lt;$K20,$B$27&gt;$L20),0,M20)</f>
        <v>0</v>
      </c>
      <c r="I30" s="288">
        <f>(F30*$E$27)*H30</f>
        <v>0</v>
      </c>
      <c r="J30" s="289">
        <f>IF(ISERROR(I30/H30),0,(I30/H30))</f>
        <v>0</v>
      </c>
    </row>
    <row r="31" spans="1:13" x14ac:dyDescent="0.25">
      <c r="B31" s="299"/>
      <c r="C31" s="300"/>
      <c r="D31" s="301"/>
      <c r="E31" s="302"/>
      <c r="F31" s="303">
        <f>IF(OR($B$28&lt;$K21,$B$27&gt;$L21),0,(MIN($B$28,$L21)-MAX($B$27,$K21)+1))</f>
        <v>365</v>
      </c>
      <c r="G31" s="303">
        <f>ROUND(IF(ISERROR(F31/365),0,(F31/365))*12,0)</f>
        <v>12</v>
      </c>
      <c r="H31" s="304">
        <f>IF(OR($B$28&lt;$K21,$B$27&gt;$L21),0,M21)</f>
        <v>0.53</v>
      </c>
      <c r="I31" s="305">
        <f>(F31*$E$27)*H31</f>
        <v>31898.050000000003</v>
      </c>
      <c r="J31" s="306">
        <f>IF(ISERROR(I31/H31),0,(I31/H31))</f>
        <v>60185</v>
      </c>
    </row>
    <row r="32" spans="1:13" ht="13" x14ac:dyDescent="0.3">
      <c r="B32" s="307" t="s">
        <v>249</v>
      </c>
      <c r="C32" s="308"/>
      <c r="D32" s="309">
        <f>SUM(D27:D31)</f>
        <v>60185</v>
      </c>
      <c r="E32" s="310"/>
      <c r="F32" s="311">
        <f>SUM(F27:F31)</f>
        <v>365</v>
      </c>
      <c r="G32" s="312">
        <f>SUM(G27:G31)</f>
        <v>12</v>
      </c>
      <c r="H32" s="313">
        <f>AVERAGEIF(H27:H31,"&lt;&gt;0")</f>
        <v>0.53</v>
      </c>
      <c r="I32" s="314">
        <f>ROUND(SUM(I27:I31),0)</f>
        <v>31898</v>
      </c>
      <c r="J32" s="315">
        <f>SUM(J27:J31)</f>
        <v>60185</v>
      </c>
      <c r="K32" s="319"/>
    </row>
    <row r="33" spans="1:12" x14ac:dyDescent="0.25">
      <c r="F33" s="271"/>
      <c r="K33" s="319"/>
    </row>
    <row r="34" spans="1:12" x14ac:dyDescent="0.25">
      <c r="C34" s="320"/>
      <c r="F34" s="271"/>
      <c r="K34" s="319"/>
    </row>
    <row r="35" spans="1:12" ht="13.5" thickBot="1" x14ac:dyDescent="0.35">
      <c r="A35" s="267" t="s">
        <v>251</v>
      </c>
      <c r="B35" s="268" t="s">
        <v>231</v>
      </c>
      <c r="C35" s="269" t="s">
        <v>232</v>
      </c>
      <c r="D35" s="270" t="s">
        <v>233</v>
      </c>
      <c r="E35" s="269" t="s">
        <v>232</v>
      </c>
      <c r="F35" s="271"/>
      <c r="G35" s="269" t="s">
        <v>232</v>
      </c>
      <c r="H35" s="259"/>
      <c r="I35" s="269" t="s">
        <v>232</v>
      </c>
      <c r="J35" s="269" t="s">
        <v>232</v>
      </c>
    </row>
    <row r="36" spans="1:12" ht="13.5" thickBot="1" x14ac:dyDescent="0.35">
      <c r="A36" s="259"/>
      <c r="B36" s="268" t="s">
        <v>235</v>
      </c>
      <c r="C36" s="274" t="s">
        <v>236</v>
      </c>
      <c r="D36" s="275" t="s">
        <v>237</v>
      </c>
      <c r="E36" s="276" t="s">
        <v>238</v>
      </c>
      <c r="F36" s="274" t="s">
        <v>239</v>
      </c>
      <c r="G36" s="274" t="s">
        <v>240</v>
      </c>
      <c r="H36" s="277" t="s">
        <v>241</v>
      </c>
      <c r="I36" s="277" t="s">
        <v>242</v>
      </c>
      <c r="J36" s="278" t="s">
        <v>243</v>
      </c>
    </row>
    <row r="37" spans="1:12" ht="13.5" thickBot="1" x14ac:dyDescent="0.35">
      <c r="A37" s="281" t="s">
        <v>247</v>
      </c>
      <c r="B37" s="282">
        <f>IF(years&gt;2,B27+365,0)</f>
        <v>44805</v>
      </c>
      <c r="C37" s="283">
        <f>ROUND(IF((B37=0),0,(B38-B37))/30,0)</f>
        <v>12</v>
      </c>
      <c r="D37" s="284">
        <f>NSF5GPG!AP77</f>
        <v>91880</v>
      </c>
      <c r="E37" s="285">
        <f>IF(ISERROR(D37/F42),0,(D37/F42))</f>
        <v>251.72602739726028</v>
      </c>
      <c r="F37" s="321">
        <f>IF(OR($B$38&lt;$K17,$B$37&gt;$L17),0,(MIN($B$38,$L17)-MAX($B$37,$K17)+1))</f>
        <v>0</v>
      </c>
      <c r="G37" s="286">
        <f>ROUND(IF(ISERROR(F37/365),0,(F37/365))*12,0)</f>
        <v>0</v>
      </c>
      <c r="H37" s="287">
        <f>IF(OR($B$38&lt;$K17,$B$37&gt;$L17),0,M17)</f>
        <v>0</v>
      </c>
      <c r="I37" s="288">
        <f>(F37*$E$37)*H37</f>
        <v>0</v>
      </c>
      <c r="J37" s="289">
        <f>IF(ISERROR(I37/H37),0,(I37/H37))</f>
        <v>0</v>
      </c>
    </row>
    <row r="38" spans="1:12" ht="13.5" thickBot="1" x14ac:dyDescent="0.35">
      <c r="A38" s="293" t="s">
        <v>248</v>
      </c>
      <c r="B38" s="282">
        <f>IF(years=3,NSF5GPG!G18,'F&amp;A Calculation- Sponsor Funds'!B37+364)</f>
        <v>45169</v>
      </c>
      <c r="D38" s="295"/>
      <c r="E38" s="296"/>
      <c r="F38" s="286">
        <f>IF(OR($B$38&lt;$K18,$B$37&gt;$L18),0,(MIN($B$38,$L18)-MAX($B$37,$K18)+1))</f>
        <v>0</v>
      </c>
      <c r="G38" s="286">
        <f>ROUND(IF(ISERROR(F38/365),0,(F38/365))*12,0)</f>
        <v>0</v>
      </c>
      <c r="H38" s="287">
        <f>IF(OR($B$38&lt;$K18,$B$37&gt;$L18),0,M18)</f>
        <v>0</v>
      </c>
      <c r="I38" s="288">
        <f>(F38*$E$37)*H38</f>
        <v>0</v>
      </c>
      <c r="J38" s="289">
        <f>IF(ISERROR(I38/H38),0,(I38/H38))</f>
        <v>0</v>
      </c>
      <c r="K38" s="319"/>
      <c r="L38" s="319"/>
    </row>
    <row r="39" spans="1:12" x14ac:dyDescent="0.25">
      <c r="C39" s="298"/>
      <c r="D39" s="295"/>
      <c r="E39" s="296"/>
      <c r="F39" s="286">
        <f>IF(OR($B$38&lt;$K19,$B$37&gt;$L19),0,(MIN($B$38,$L19)-MAX($B$37,$K19)+1))</f>
        <v>0</v>
      </c>
      <c r="G39" s="286">
        <f>ROUND(IF(ISERROR(F39/365),0,(F39/365))*12,0)</f>
        <v>0</v>
      </c>
      <c r="H39" s="287">
        <f>IF(OR($B$38&lt;$K19,$B$37&gt;$L19),0,M19)</f>
        <v>0</v>
      </c>
      <c r="I39" s="288">
        <f>(F39*$E$37)*H39</f>
        <v>0</v>
      </c>
      <c r="J39" s="289">
        <f>IF(ISERROR(I39/H39),0,(I39/H39))</f>
        <v>0</v>
      </c>
      <c r="K39" s="319"/>
      <c r="L39" s="319"/>
    </row>
    <row r="40" spans="1:12" x14ac:dyDescent="0.25">
      <c r="A40" s="259"/>
      <c r="C40" s="298"/>
      <c r="D40" s="295"/>
      <c r="E40" s="296"/>
      <c r="F40" s="286">
        <f>IF(OR($B$38&lt;$K20,$B$37&gt;$L20),0,(MIN($B$38,$L20)-MAX($B$37,$K20)+1))</f>
        <v>0</v>
      </c>
      <c r="G40" s="286">
        <f>ROUND(IF(ISERROR(F40/365),0,(F40/365))*12,0)</f>
        <v>0</v>
      </c>
      <c r="H40" s="287">
        <f>IF(OR($B$38&lt;$K20,$B$37&gt;$L20),0,M20)</f>
        <v>0</v>
      </c>
      <c r="I40" s="288">
        <f>(F40*$E$37)*H40</f>
        <v>0</v>
      </c>
      <c r="J40" s="289">
        <f>IF(ISERROR(I40/H40),0,(I40/H40))</f>
        <v>0</v>
      </c>
      <c r="K40" s="319"/>
      <c r="L40" s="319"/>
    </row>
    <row r="41" spans="1:12" x14ac:dyDescent="0.25">
      <c r="B41" s="299"/>
      <c r="C41" s="300"/>
      <c r="D41" s="301"/>
      <c r="E41" s="302"/>
      <c r="F41" s="303">
        <f>IF(OR($B$38&lt;$K21,$B$37&gt;$L21),0,(MIN($B$38,$L21)-MAX($B$37,$K21)+1))</f>
        <v>365</v>
      </c>
      <c r="G41" s="303">
        <f>ROUND(IF(ISERROR(F41/365),0,(F41/365))*12,0)</f>
        <v>12</v>
      </c>
      <c r="H41" s="304">
        <f>IF(OR($B$38&lt;$K21,$B$37&gt;$L21),0,M21)</f>
        <v>0.53</v>
      </c>
      <c r="I41" s="305">
        <f>(F41*$E$37)*H41</f>
        <v>48696.4</v>
      </c>
      <c r="J41" s="306">
        <f>IF(ISERROR(I41/H41),0,(I41/H41))</f>
        <v>91880</v>
      </c>
    </row>
    <row r="42" spans="1:12" ht="13" x14ac:dyDescent="0.3">
      <c r="B42" s="307" t="s">
        <v>249</v>
      </c>
      <c r="C42" s="308"/>
      <c r="D42" s="309">
        <f>SUM(D37:D41)</f>
        <v>91880</v>
      </c>
      <c r="E42" s="310"/>
      <c r="F42" s="311">
        <f>SUM(F37:F41)</f>
        <v>365</v>
      </c>
      <c r="G42" s="312">
        <f>SUM(G37:G41)</f>
        <v>12</v>
      </c>
      <c r="H42" s="313">
        <f>AVERAGEIF(H37:H41,"&lt;&gt;0")</f>
        <v>0.53</v>
      </c>
      <c r="I42" s="314">
        <f>ROUND(SUM(I37:I41),0)</f>
        <v>48696</v>
      </c>
      <c r="J42" s="315">
        <f>SUM(J37:J41)</f>
        <v>91880</v>
      </c>
      <c r="K42" s="319"/>
    </row>
    <row r="43" spans="1:12" x14ac:dyDescent="0.25">
      <c r="F43" s="271"/>
      <c r="K43" s="319"/>
    </row>
    <row r="44" spans="1:12" x14ac:dyDescent="0.25">
      <c r="F44" s="271"/>
    </row>
    <row r="45" spans="1:12" ht="13.5" thickBot="1" x14ac:dyDescent="0.35">
      <c r="A45" s="267" t="s">
        <v>252</v>
      </c>
      <c r="B45" s="268" t="s">
        <v>231</v>
      </c>
      <c r="C45" s="269" t="s">
        <v>232</v>
      </c>
      <c r="D45" s="270" t="s">
        <v>233</v>
      </c>
      <c r="E45" s="269" t="s">
        <v>232</v>
      </c>
      <c r="F45" s="271"/>
      <c r="G45" s="269" t="s">
        <v>232</v>
      </c>
      <c r="H45" s="259"/>
      <c r="I45" s="269" t="s">
        <v>232</v>
      </c>
      <c r="J45" s="269" t="s">
        <v>232</v>
      </c>
      <c r="K45" s="319"/>
    </row>
    <row r="46" spans="1:12" ht="13.5" thickBot="1" x14ac:dyDescent="0.35">
      <c r="A46" s="259"/>
      <c r="B46" s="268" t="s">
        <v>235</v>
      </c>
      <c r="C46" s="274" t="s">
        <v>236</v>
      </c>
      <c r="D46" s="275" t="s">
        <v>237</v>
      </c>
      <c r="E46" s="276" t="s">
        <v>238</v>
      </c>
      <c r="F46" s="274" t="s">
        <v>239</v>
      </c>
      <c r="G46" s="274" t="s">
        <v>240</v>
      </c>
      <c r="H46" s="277" t="s">
        <v>241</v>
      </c>
      <c r="I46" s="277" t="s">
        <v>242</v>
      </c>
      <c r="J46" s="278" t="s">
        <v>243</v>
      </c>
    </row>
    <row r="47" spans="1:12" ht="13.5" thickBot="1" x14ac:dyDescent="0.35">
      <c r="A47" s="281" t="s">
        <v>247</v>
      </c>
      <c r="B47" s="282">
        <f>IF(years&gt;3,B37+365,0)</f>
        <v>45170</v>
      </c>
      <c r="C47" s="283">
        <f>ROUND(IF((B47=0),0,(B48-B47))/30,0)</f>
        <v>24</v>
      </c>
      <c r="D47" s="284">
        <f>NSF5GPG!BE77</f>
        <v>94360</v>
      </c>
      <c r="E47" s="285">
        <f>IF(ISERROR(D47/F52),0,(D47/F52))</f>
        <v>129.26027397260273</v>
      </c>
      <c r="F47" s="321">
        <f>IF(OR($B$48&lt;$K17,$B$47&gt;$L17),0,(MIN($B$48,$L17)-MAX($B$47,$K17)+1))</f>
        <v>0</v>
      </c>
      <c r="G47" s="286">
        <f>ROUND(IF(ISERROR(F47/365),0,(F47/365))*12,0)</f>
        <v>0</v>
      </c>
      <c r="H47" s="287">
        <f>IF(OR($B$48&lt;$K17,$B$47&gt;$L17),0,M17)</f>
        <v>0</v>
      </c>
      <c r="I47" s="288">
        <f>(F47*$E$47)*H47</f>
        <v>0</v>
      </c>
      <c r="J47" s="289">
        <f>IF(ISERROR(I47/H47),0,(I47/H47))</f>
        <v>0</v>
      </c>
    </row>
    <row r="48" spans="1:12" ht="13.5" thickBot="1" x14ac:dyDescent="0.35">
      <c r="A48" s="293" t="s">
        <v>248</v>
      </c>
      <c r="B48" s="282">
        <f>IF(years=4,NSF5GPG!G18,'F&amp;A Calculation- Sponsor Funds'!B47+364)</f>
        <v>45899</v>
      </c>
      <c r="D48" s="295"/>
      <c r="E48" s="296"/>
      <c r="F48" s="286">
        <f>IF(OR($B$48&lt;$K18,$B$47&gt;$L18),0,(MIN($B$48,$L18)-MAX($B$47,$K18)+1))</f>
        <v>0</v>
      </c>
      <c r="G48" s="286">
        <f>ROUND(IF(ISERROR(F48/365),0,(F48/365))*12,0)</f>
        <v>0</v>
      </c>
      <c r="H48" s="287">
        <f>IF(OR($B$48&lt;$K18,$B$47&gt;$L18),0,M18)</f>
        <v>0</v>
      </c>
      <c r="I48" s="288">
        <f>(F48*$E$47)*H48</f>
        <v>0</v>
      </c>
      <c r="J48" s="289">
        <f>IF(ISERROR(I48/H48),0,(I48/H48))</f>
        <v>0</v>
      </c>
      <c r="K48" s="322"/>
    </row>
    <row r="49" spans="1:11" x14ac:dyDescent="0.25">
      <c r="C49" s="298"/>
      <c r="D49" s="295"/>
      <c r="E49" s="296"/>
      <c r="F49" s="286">
        <f>IF(OR($B$48&lt;$K19,$B$47&gt;$L19),0,(MIN($B$48,$L19)-MAX($B$47,$K19)+1))</f>
        <v>0</v>
      </c>
      <c r="G49" s="286">
        <f>ROUND(IF(ISERROR(F49/365),0,(F49/365))*12,0)</f>
        <v>0</v>
      </c>
      <c r="H49" s="287">
        <f>IF(OR($B$48&lt;$K19,$B$47&gt;$L19),0,M19)</f>
        <v>0</v>
      </c>
      <c r="I49" s="288">
        <f>(F49*$E$47)*H49</f>
        <v>0</v>
      </c>
      <c r="J49" s="289">
        <f>IF(ISERROR(I49/H49),0,(I49/H49))</f>
        <v>0</v>
      </c>
    </row>
    <row r="50" spans="1:11" x14ac:dyDescent="0.25">
      <c r="A50" s="259"/>
      <c r="C50" s="298"/>
      <c r="D50" s="295"/>
      <c r="E50" s="296"/>
      <c r="F50" s="286">
        <f>IF(OR($B$48&lt;$K20,$B$47&gt;$L20),0,(MIN($B$48,$L20)-MAX($B$47,$K20)+1))</f>
        <v>0</v>
      </c>
      <c r="G50" s="286">
        <f>ROUND(IF(ISERROR(F50/365),0,(F50/365))*12,0)</f>
        <v>0</v>
      </c>
      <c r="H50" s="287">
        <f>IF(OR($B$48&lt;$K20,$B$47&gt;$L20),0,M20)</f>
        <v>0</v>
      </c>
      <c r="I50" s="288">
        <f>(F50*$E$47)*H50</f>
        <v>0</v>
      </c>
      <c r="J50" s="289">
        <f>IF(ISERROR(I50/H50),0,(I50/H50))</f>
        <v>0</v>
      </c>
      <c r="K50" s="322"/>
    </row>
    <row r="51" spans="1:11" x14ac:dyDescent="0.25">
      <c r="B51" s="299"/>
      <c r="C51" s="300"/>
      <c r="D51" s="301"/>
      <c r="E51" s="302"/>
      <c r="F51" s="303">
        <f>IF(OR($B$48&lt;$K21,$B$47&gt;$L21),0,(MIN($B$48,$L21)-MAX($B$47,$K21)+1))</f>
        <v>730</v>
      </c>
      <c r="G51" s="303">
        <f>ROUND(IF(ISERROR(F51/365),0,(F51/365))*12,0)</f>
        <v>24</v>
      </c>
      <c r="H51" s="304">
        <f>IF(OR($B$48&lt;$K21,$B$47&gt;$L21),0,M21)</f>
        <v>0.53</v>
      </c>
      <c r="I51" s="305">
        <f>(F51*$E$47)*H51</f>
        <v>50010.8</v>
      </c>
      <c r="J51" s="306">
        <f>IF(ISERROR(I51/H51),0,(I51/H51))</f>
        <v>94360</v>
      </c>
    </row>
    <row r="52" spans="1:11" ht="13" x14ac:dyDescent="0.3">
      <c r="B52" s="307" t="s">
        <v>249</v>
      </c>
      <c r="C52" s="308"/>
      <c r="D52" s="309">
        <f>SUM(D47:D51)</f>
        <v>94360</v>
      </c>
      <c r="E52" s="310"/>
      <c r="F52" s="311">
        <f>SUM(F47:F51)</f>
        <v>730</v>
      </c>
      <c r="G52" s="312">
        <f>SUM(G47:G51)</f>
        <v>24</v>
      </c>
      <c r="H52" s="313">
        <f>AVERAGEIF(H47:H51,"&lt;&gt;0")</f>
        <v>0.53</v>
      </c>
      <c r="I52" s="314">
        <f>ROUND(SUM(I47:I51),0)</f>
        <v>50011</v>
      </c>
      <c r="J52" s="315">
        <f>SUM(J47:J51)</f>
        <v>94360</v>
      </c>
    </row>
    <row r="53" spans="1:11" x14ac:dyDescent="0.25">
      <c r="F53" s="271"/>
    </row>
    <row r="54" spans="1:11" x14ac:dyDescent="0.25">
      <c r="F54" s="271"/>
    </row>
    <row r="55" spans="1:11" ht="13.5" thickBot="1" x14ac:dyDescent="0.35">
      <c r="A55" s="267" t="s">
        <v>253</v>
      </c>
      <c r="B55" s="268" t="s">
        <v>231</v>
      </c>
      <c r="C55" s="269" t="s">
        <v>232</v>
      </c>
      <c r="D55" s="270" t="s">
        <v>233</v>
      </c>
      <c r="E55" s="269" t="s">
        <v>232</v>
      </c>
      <c r="F55" s="271"/>
      <c r="G55" s="269" t="s">
        <v>232</v>
      </c>
      <c r="H55" s="259"/>
      <c r="I55" s="269" t="s">
        <v>232</v>
      </c>
      <c r="J55" s="269" t="s">
        <v>232</v>
      </c>
    </row>
    <row r="56" spans="1:11" ht="13.5" thickBot="1" x14ac:dyDescent="0.35">
      <c r="A56" s="259"/>
      <c r="B56" s="268" t="s">
        <v>235</v>
      </c>
      <c r="C56" s="274" t="s">
        <v>236</v>
      </c>
      <c r="D56" s="275" t="s">
        <v>237</v>
      </c>
      <c r="E56" s="276" t="s">
        <v>238</v>
      </c>
      <c r="F56" s="274" t="s">
        <v>239</v>
      </c>
      <c r="G56" s="274" t="s">
        <v>240</v>
      </c>
      <c r="H56" s="277" t="s">
        <v>241</v>
      </c>
      <c r="I56" s="277" t="s">
        <v>242</v>
      </c>
      <c r="J56" s="278" t="s">
        <v>243</v>
      </c>
      <c r="K56" s="319"/>
    </row>
    <row r="57" spans="1:11" ht="13.5" thickBot="1" x14ac:dyDescent="0.35">
      <c r="A57" s="281" t="s">
        <v>247</v>
      </c>
      <c r="B57" s="282" t="str">
        <f>IF(years&gt;4,B47+365,"na")</f>
        <v>na</v>
      </c>
      <c r="C57" s="283" t="e">
        <f>ROUND(IF((B57=0),0,(B58-B57))/30,0)</f>
        <v>#VALUE!</v>
      </c>
      <c r="D57" s="284">
        <f>NSF5GPG!BT77</f>
        <v>0</v>
      </c>
      <c r="E57" s="285">
        <f>IF(ISERROR(D57/F62),0,(D57/F62))</f>
        <v>0</v>
      </c>
      <c r="F57" s="321">
        <f>IF(OR($B$58&lt;$K17,$B$57&gt;$L17),0,(MIN($B$58,$L17)-MAX($B$57,$K17)+1))</f>
        <v>0</v>
      </c>
      <c r="G57" s="286">
        <f>ROUND(IF(ISERROR(F57/365),0,(F57/365))*12,0)</f>
        <v>0</v>
      </c>
      <c r="H57" s="287">
        <f>IF(OR($B$58&lt;$K17,$B$57&gt;$L17),0,M17)</f>
        <v>0</v>
      </c>
      <c r="I57" s="288">
        <f>(F57*$E$57)*H57</f>
        <v>0</v>
      </c>
      <c r="J57" s="289">
        <f>IF(ISERROR(I57/H57),0,(I57/H57))</f>
        <v>0</v>
      </c>
    </row>
    <row r="58" spans="1:11" ht="13.5" thickBot="1" x14ac:dyDescent="0.35">
      <c r="A58" s="293" t="s">
        <v>248</v>
      </c>
      <c r="B58" s="282">
        <f>IF(years&gt;4,B57+365,0)</f>
        <v>0</v>
      </c>
      <c r="D58" s="295"/>
      <c r="E58" s="296"/>
      <c r="F58" s="286">
        <f>IF(OR($B$58&lt;$K18,$B$57&gt;$L18),0,(MIN($B$58,$L18)-MAX($B$57,$K18)+1))</f>
        <v>0</v>
      </c>
      <c r="G58" s="286">
        <f>ROUND(IF(ISERROR(F58/365),0,(F58/365))*12,0)</f>
        <v>0</v>
      </c>
      <c r="H58" s="287">
        <f>IF(OR($B$58&lt;$K18,$B$57&gt;$L18),0,M18)</f>
        <v>0</v>
      </c>
      <c r="I58" s="288">
        <f>(F58*$E$57)*H58</f>
        <v>0</v>
      </c>
      <c r="J58" s="289">
        <f>IF(ISERROR(I58/H58),0,(I58/H58))</f>
        <v>0</v>
      </c>
    </row>
    <row r="59" spans="1:11" x14ac:dyDescent="0.25">
      <c r="C59" s="298"/>
      <c r="D59" s="295"/>
      <c r="E59" s="296"/>
      <c r="F59" s="286">
        <f>IF(OR($B$58&lt;$K19,$B$57&gt;$L19),0,(MIN($B$58,$L19)-MAX($B$57,$K19)+1))</f>
        <v>0</v>
      </c>
      <c r="G59" s="286">
        <f>ROUND(IF(ISERROR(F59/365),0,(F59/365))*12,0)</f>
        <v>0</v>
      </c>
      <c r="H59" s="287">
        <f>IF(OR($B$58&lt;$K19,$B$57&gt;$L19),0,M19)</f>
        <v>0</v>
      </c>
      <c r="I59" s="288">
        <f>(F59*$E$57)*H59</f>
        <v>0</v>
      </c>
      <c r="J59" s="289">
        <f>IF(ISERROR(I59/H59),0,(I59/H59))</f>
        <v>0</v>
      </c>
    </row>
    <row r="60" spans="1:11" x14ac:dyDescent="0.25">
      <c r="A60" s="259"/>
      <c r="C60" s="298"/>
      <c r="D60" s="295"/>
      <c r="E60" s="296"/>
      <c r="F60" s="286">
        <f>IF(OR($B$58&lt;$K20,$B$57&gt;$L20),0,(MIN($B$58,$L20)-MAX($B$57,$K20)+1))</f>
        <v>0</v>
      </c>
      <c r="G60" s="286">
        <f>ROUND(IF(ISERROR(F60/365),0,(F60/365))*12,0)</f>
        <v>0</v>
      </c>
      <c r="H60" s="287">
        <f>IF(OR($B$58&lt;$K20,$B$57&gt;$L20),0,M20)</f>
        <v>0</v>
      </c>
      <c r="I60" s="288">
        <f>(F60*$E$57)*H60</f>
        <v>0</v>
      </c>
      <c r="J60" s="289">
        <f>IF(ISERROR(I60/H60),0,(I60/H60))</f>
        <v>0</v>
      </c>
    </row>
    <row r="61" spans="1:11" x14ac:dyDescent="0.25">
      <c r="B61" s="299"/>
      <c r="C61" s="300"/>
      <c r="D61" s="301"/>
      <c r="E61" s="302"/>
      <c r="F61" s="303">
        <f>IF(OR($B$58&lt;$K21,$B$57&gt;$L21),0,(MIN($B$58,$L21)-MAX($B$57,$K21)+1))</f>
        <v>0</v>
      </c>
      <c r="G61" s="303">
        <f>ROUND(IF(ISERROR(F61/365),0,(F61/365))*12,0)</f>
        <v>0</v>
      </c>
      <c r="H61" s="304">
        <f>IF(OR($B$58&lt;$K21,$B$57&gt;$L21),0,M21)</f>
        <v>0</v>
      </c>
      <c r="I61" s="305">
        <f>(F61*$E$57)*H61</f>
        <v>0</v>
      </c>
      <c r="J61" s="306">
        <f>IF(ISERROR(I61/H61),0,(I61/H61))</f>
        <v>0</v>
      </c>
    </row>
    <row r="62" spans="1:11" ht="13" x14ac:dyDescent="0.3">
      <c r="B62" s="307" t="s">
        <v>249</v>
      </c>
      <c r="C62" s="308"/>
      <c r="D62" s="309">
        <f>SUM(D57:D61)</f>
        <v>0</v>
      </c>
      <c r="E62" s="310"/>
      <c r="F62" s="311">
        <f>SUM(F57:F61)</f>
        <v>0</v>
      </c>
      <c r="G62" s="312">
        <f>SUM(G57:G61)</f>
        <v>0</v>
      </c>
      <c r="H62" s="313" t="e">
        <f>AVERAGEIF(H57:H61,"&lt;&gt;0")</f>
        <v>#DIV/0!</v>
      </c>
      <c r="I62" s="314">
        <f>ROUND(SUM(I57:I61),0)</f>
        <v>0</v>
      </c>
      <c r="J62" s="315">
        <f>SUM(J57:J61)</f>
        <v>0</v>
      </c>
    </row>
    <row r="63" spans="1:11" x14ac:dyDescent="0.25">
      <c r="F63" s="271"/>
    </row>
    <row r="64" spans="1:11" x14ac:dyDescent="0.25">
      <c r="A64" s="332"/>
      <c r="B64" s="332"/>
      <c r="C64" s="332"/>
      <c r="D64" s="332"/>
      <c r="E64" s="332"/>
      <c r="F64" s="329"/>
      <c r="G64" s="332"/>
      <c r="H64" s="332"/>
      <c r="I64" s="332"/>
      <c r="J64" s="332"/>
    </row>
    <row r="65" spans="1:10" ht="13" x14ac:dyDescent="0.3">
      <c r="A65" s="333"/>
      <c r="B65" s="334"/>
      <c r="C65" s="335"/>
      <c r="D65" s="336"/>
      <c r="E65" s="335"/>
      <c r="F65" s="329"/>
      <c r="G65" s="335"/>
      <c r="H65" s="337"/>
      <c r="I65" s="335"/>
      <c r="J65" s="335"/>
    </row>
    <row r="66" spans="1:10" ht="13" x14ac:dyDescent="0.3">
      <c r="A66" s="337"/>
      <c r="B66" s="334"/>
      <c r="C66" s="338"/>
      <c r="D66" s="334"/>
      <c r="E66" s="339"/>
      <c r="F66" s="338"/>
      <c r="G66" s="338"/>
      <c r="H66" s="339"/>
      <c r="I66" s="339"/>
      <c r="J66" s="340"/>
    </row>
    <row r="67" spans="1:10" ht="13" x14ac:dyDescent="0.3">
      <c r="A67" s="341"/>
      <c r="B67" s="342"/>
      <c r="C67" s="323"/>
      <c r="D67" s="343"/>
      <c r="E67" s="324"/>
      <c r="F67" s="325"/>
      <c r="G67" s="325"/>
      <c r="H67" s="326"/>
      <c r="I67" s="327"/>
      <c r="J67" s="328"/>
    </row>
    <row r="68" spans="1:10" ht="13" x14ac:dyDescent="0.3">
      <c r="A68" s="341"/>
      <c r="B68" s="342"/>
      <c r="C68" s="332"/>
      <c r="D68" s="329"/>
      <c r="E68" s="330"/>
      <c r="F68" s="325"/>
      <c r="G68" s="325"/>
      <c r="H68" s="326"/>
      <c r="I68" s="327"/>
      <c r="J68" s="328"/>
    </row>
    <row r="69" spans="1:10" x14ac:dyDescent="0.25">
      <c r="A69" s="332"/>
      <c r="B69" s="332"/>
      <c r="C69" s="325"/>
      <c r="D69" s="329"/>
      <c r="E69" s="330"/>
      <c r="F69" s="325"/>
      <c r="G69" s="325"/>
      <c r="H69" s="326"/>
      <c r="I69" s="327"/>
      <c r="J69" s="328"/>
    </row>
    <row r="70" spans="1:10" x14ac:dyDescent="0.25">
      <c r="A70" s="337"/>
      <c r="B70" s="332"/>
      <c r="C70" s="325"/>
      <c r="D70" s="329"/>
      <c r="E70" s="330"/>
      <c r="F70" s="325"/>
      <c r="G70" s="325"/>
      <c r="H70" s="326"/>
      <c r="I70" s="327"/>
      <c r="J70" s="328"/>
    </row>
    <row r="71" spans="1:10" x14ac:dyDescent="0.25">
      <c r="A71" s="332"/>
      <c r="B71" s="332"/>
      <c r="C71" s="325"/>
      <c r="D71" s="329"/>
      <c r="E71" s="330"/>
      <c r="F71" s="325"/>
      <c r="G71" s="325"/>
      <c r="H71" s="326"/>
      <c r="I71" s="327"/>
      <c r="J71" s="328"/>
    </row>
    <row r="72" spans="1:10" ht="13" x14ac:dyDescent="0.3">
      <c r="A72" s="332"/>
      <c r="B72" s="344"/>
      <c r="C72" s="332"/>
      <c r="D72" s="345"/>
      <c r="E72" s="330"/>
      <c r="F72" s="325"/>
      <c r="G72" s="325"/>
      <c r="H72" s="331"/>
      <c r="I72" s="346"/>
      <c r="J72" s="347"/>
    </row>
    <row r="73" spans="1:10" x14ac:dyDescent="0.25">
      <c r="A73" s="332"/>
      <c r="B73" s="332"/>
      <c r="C73" s="332"/>
      <c r="D73" s="332"/>
      <c r="E73" s="332"/>
      <c r="F73" s="329"/>
      <c r="G73" s="332"/>
      <c r="H73" s="332"/>
      <c r="I73" s="332"/>
      <c r="J73" s="332"/>
    </row>
    <row r="74" spans="1:10" x14ac:dyDescent="0.25">
      <c r="A74" s="332"/>
      <c r="B74" s="332"/>
      <c r="C74" s="332"/>
      <c r="D74" s="332"/>
      <c r="E74" s="332"/>
      <c r="F74" s="329"/>
      <c r="G74" s="332"/>
      <c r="H74" s="332"/>
      <c r="I74" s="332"/>
      <c r="J74" s="332"/>
    </row>
    <row r="75" spans="1:10" ht="13" x14ac:dyDescent="0.3">
      <c r="A75" s="333"/>
      <c r="B75" s="334"/>
      <c r="C75" s="335"/>
      <c r="D75" s="336"/>
      <c r="E75" s="335"/>
      <c r="F75" s="329"/>
      <c r="G75" s="335"/>
      <c r="H75" s="337"/>
      <c r="I75" s="335"/>
      <c r="J75" s="335"/>
    </row>
    <row r="76" spans="1:10" ht="13" x14ac:dyDescent="0.3">
      <c r="A76" s="337"/>
      <c r="B76" s="334"/>
      <c r="C76" s="338"/>
      <c r="D76" s="334"/>
      <c r="E76" s="339"/>
      <c r="F76" s="338"/>
      <c r="G76" s="338"/>
      <c r="H76" s="339"/>
      <c r="I76" s="339"/>
      <c r="J76" s="340"/>
    </row>
    <row r="77" spans="1:10" ht="13" x14ac:dyDescent="0.3">
      <c r="A77" s="341"/>
      <c r="B77" s="342"/>
      <c r="C77" s="323"/>
      <c r="D77" s="343"/>
      <c r="E77" s="324"/>
      <c r="F77" s="325"/>
      <c r="G77" s="325"/>
      <c r="H77" s="326"/>
      <c r="I77" s="327"/>
      <c r="J77" s="328"/>
    </row>
    <row r="78" spans="1:10" ht="13" x14ac:dyDescent="0.3">
      <c r="A78" s="341"/>
      <c r="B78" s="342"/>
      <c r="C78" s="332"/>
      <c r="D78" s="329"/>
      <c r="E78" s="330"/>
      <c r="F78" s="325"/>
      <c r="G78" s="325"/>
      <c r="H78" s="326"/>
      <c r="I78" s="327"/>
      <c r="J78" s="328"/>
    </row>
    <row r="79" spans="1:10" x14ac:dyDescent="0.25">
      <c r="A79" s="332"/>
      <c r="B79" s="332"/>
      <c r="C79" s="325"/>
      <c r="D79" s="329"/>
      <c r="E79" s="330"/>
      <c r="F79" s="325"/>
      <c r="G79" s="325"/>
      <c r="H79" s="326"/>
      <c r="I79" s="327"/>
      <c r="J79" s="328"/>
    </row>
    <row r="80" spans="1:10" x14ac:dyDescent="0.25">
      <c r="A80" s="337"/>
      <c r="B80" s="332"/>
      <c r="C80" s="325"/>
      <c r="D80" s="329"/>
      <c r="E80" s="330"/>
      <c r="F80" s="325"/>
      <c r="G80" s="325"/>
      <c r="H80" s="326"/>
      <c r="I80" s="327"/>
      <c r="J80" s="328"/>
    </row>
    <row r="81" spans="1:10" x14ac:dyDescent="0.25">
      <c r="A81" s="332"/>
      <c r="B81" s="332"/>
      <c r="C81" s="325"/>
      <c r="D81" s="329"/>
      <c r="E81" s="330"/>
      <c r="F81" s="325"/>
      <c r="G81" s="325"/>
      <c r="H81" s="326"/>
      <c r="I81" s="327"/>
      <c r="J81" s="328"/>
    </row>
    <row r="82" spans="1:10" ht="13" x14ac:dyDescent="0.3">
      <c r="A82" s="332"/>
      <c r="B82" s="344"/>
      <c r="C82" s="332"/>
      <c r="D82" s="345"/>
      <c r="E82" s="330"/>
      <c r="F82" s="325"/>
      <c r="G82" s="325"/>
      <c r="H82" s="331"/>
      <c r="I82" s="346"/>
      <c r="J82" s="347"/>
    </row>
    <row r="83" spans="1:10" x14ac:dyDescent="0.25">
      <c r="A83" s="332"/>
      <c r="B83" s="332"/>
      <c r="C83" s="332"/>
      <c r="D83" s="332"/>
      <c r="E83" s="332"/>
      <c r="F83" s="332"/>
      <c r="G83" s="332"/>
      <c r="H83" s="332"/>
      <c r="I83" s="332"/>
      <c r="J83" s="332"/>
    </row>
  </sheetData>
  <dataValidations count="1">
    <dataValidation allowBlank="1" showInputMessage="1" sqref="A1:XFD1048576" xr:uid="{00000000-0002-0000-0300-000000000000}"/>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3"/>
  <sheetViews>
    <sheetView workbookViewId="0">
      <selection activeCell="J29" sqref="J29"/>
    </sheetView>
  </sheetViews>
  <sheetFormatPr defaultColWidth="9.33203125" defaultRowHeight="10" x14ac:dyDescent="0.2"/>
  <cols>
    <col min="1" max="1" width="25.77734375" style="172" bestFit="1" customWidth="1"/>
    <col min="2" max="2" width="13.33203125" style="172" customWidth="1"/>
    <col min="3" max="3" width="13.6640625" style="172" customWidth="1"/>
    <col min="4" max="4" width="9.33203125" style="172"/>
    <col min="5" max="5" width="18.6640625" style="172" customWidth="1"/>
    <col min="6" max="6" width="30.109375" style="172" bestFit="1" customWidth="1"/>
    <col min="7" max="7" width="29" style="172" bestFit="1" customWidth="1"/>
    <col min="8" max="8" width="26.44140625" style="172" bestFit="1" customWidth="1"/>
    <col min="9" max="9" width="18.44140625" style="172" customWidth="1"/>
    <col min="10" max="10" width="25.109375" style="172" customWidth="1"/>
    <col min="11" max="16384" width="9.33203125" style="172"/>
  </cols>
  <sheetData>
    <row r="1" spans="1:10" ht="14.5" x14ac:dyDescent="0.35">
      <c r="A1" s="169" t="s">
        <v>143</v>
      </c>
      <c r="B1" s="170" t="s">
        <v>188</v>
      </c>
      <c r="C1" s="171"/>
    </row>
    <row r="2" spans="1:10" ht="14.5" x14ac:dyDescent="0.35">
      <c r="A2" s="169" t="s">
        <v>144</v>
      </c>
      <c r="B2" s="171"/>
      <c r="C2" s="171"/>
    </row>
    <row r="3" spans="1:10" ht="14.5" x14ac:dyDescent="0.35">
      <c r="A3" s="169" t="s">
        <v>145</v>
      </c>
      <c r="B3" s="171"/>
      <c r="C3" s="171"/>
    </row>
    <row r="4" spans="1:10" ht="14.5" x14ac:dyDescent="0.35">
      <c r="A4" s="169" t="s">
        <v>146</v>
      </c>
      <c r="B4" s="173"/>
      <c r="C4" s="173"/>
    </row>
    <row r="5" spans="1:10" ht="14.5" x14ac:dyDescent="0.35">
      <c r="A5" s="169" t="s">
        <v>147</v>
      </c>
      <c r="B5" s="171"/>
      <c r="C5" s="171"/>
    </row>
    <row r="6" spans="1:10" ht="14.5" x14ac:dyDescent="0.35">
      <c r="A6" s="174" t="s">
        <v>148</v>
      </c>
      <c r="B6" s="175"/>
      <c r="C6" s="171"/>
    </row>
    <row r="7" spans="1:10" ht="10.5" x14ac:dyDescent="0.25">
      <c r="E7" s="446" t="s">
        <v>272</v>
      </c>
      <c r="F7" s="446"/>
      <c r="G7" s="446"/>
      <c r="H7" s="446"/>
      <c r="I7" s="446"/>
      <c r="J7" s="446"/>
    </row>
    <row r="8" spans="1:10" ht="14.5" x14ac:dyDescent="0.35">
      <c r="A8" s="159" t="s">
        <v>149</v>
      </c>
      <c r="B8" s="160" t="s">
        <v>150</v>
      </c>
      <c r="C8" s="159" t="s">
        <v>151</v>
      </c>
      <c r="E8" s="376" t="s">
        <v>150</v>
      </c>
      <c r="F8" s="376" t="s">
        <v>273</v>
      </c>
      <c r="G8" s="376" t="s">
        <v>274</v>
      </c>
      <c r="H8" s="376" t="s">
        <v>275</v>
      </c>
      <c r="I8" s="376" t="s">
        <v>276</v>
      </c>
      <c r="J8" s="376" t="s">
        <v>277</v>
      </c>
    </row>
    <row r="9" spans="1:10" ht="14.5" x14ac:dyDescent="0.35">
      <c r="A9" s="161" t="s">
        <v>152</v>
      </c>
      <c r="B9" s="162" t="s">
        <v>153</v>
      </c>
      <c r="C9" s="163">
        <f>ROUND(NSF5GPG!CJ44,0)</f>
        <v>242921</v>
      </c>
      <c r="E9" s="373" t="s">
        <v>153</v>
      </c>
      <c r="F9" s="373" t="s">
        <v>278</v>
      </c>
      <c r="G9" s="373" t="s">
        <v>278</v>
      </c>
      <c r="H9" s="373" t="s">
        <v>279</v>
      </c>
      <c r="I9" s="373">
        <f>IF($C9&gt;0,$C9,0)</f>
        <v>242921</v>
      </c>
      <c r="J9" s="373">
        <f>IF($C9&lt;0,$C9,0)</f>
        <v>0</v>
      </c>
    </row>
    <row r="10" spans="1:10" ht="14.5" x14ac:dyDescent="0.35">
      <c r="A10" s="161" t="s">
        <v>154</v>
      </c>
      <c r="B10" s="162" t="s">
        <v>155</v>
      </c>
      <c r="C10" s="163">
        <f>ROUND(NSF5GPG!CJ45,0)</f>
        <v>25484</v>
      </c>
      <c r="E10" s="373" t="s">
        <v>155</v>
      </c>
      <c r="F10" s="373" t="s">
        <v>280</v>
      </c>
      <c r="G10" s="373" t="s">
        <v>281</v>
      </c>
      <c r="H10" s="373" t="s">
        <v>154</v>
      </c>
      <c r="I10" s="373">
        <f t="shared" ref="I10:I15" si="0">IF($C10&gt;0,$C10,0)</f>
        <v>25484</v>
      </c>
      <c r="J10" s="373">
        <f t="shared" ref="J10:J15" si="1">IF($C10&lt;0,$C10,0)</f>
        <v>0</v>
      </c>
    </row>
    <row r="11" spans="1:10" ht="14.5" x14ac:dyDescent="0.35">
      <c r="A11" s="161" t="s">
        <v>156</v>
      </c>
      <c r="B11" s="162" t="s">
        <v>157</v>
      </c>
      <c r="C11" s="163">
        <f>ROUND(NSF5GPG!CJ53,0)</f>
        <v>0</v>
      </c>
      <c r="E11" s="373" t="s">
        <v>157</v>
      </c>
      <c r="F11" s="373" t="s">
        <v>282</v>
      </c>
      <c r="G11" s="373" t="s">
        <v>282</v>
      </c>
      <c r="H11" s="373" t="s">
        <v>156</v>
      </c>
      <c r="I11" s="373">
        <f t="shared" si="0"/>
        <v>0</v>
      </c>
      <c r="J11" s="373">
        <f t="shared" si="1"/>
        <v>0</v>
      </c>
    </row>
    <row r="12" spans="1:10" ht="14.5" x14ac:dyDescent="0.35">
      <c r="A12" s="161" t="s">
        <v>158</v>
      </c>
      <c r="B12" s="162" t="s">
        <v>159</v>
      </c>
      <c r="C12" s="163">
        <f>ROUND(NSF5GPG!CJ54,0)</f>
        <v>12120</v>
      </c>
      <c r="E12" s="373" t="s">
        <v>159</v>
      </c>
      <c r="F12" s="373" t="s">
        <v>283</v>
      </c>
      <c r="G12" s="373" t="s">
        <v>284</v>
      </c>
      <c r="H12" s="373" t="s">
        <v>285</v>
      </c>
      <c r="I12" s="373">
        <f t="shared" si="0"/>
        <v>12120</v>
      </c>
      <c r="J12" s="373">
        <f t="shared" si="1"/>
        <v>0</v>
      </c>
    </row>
    <row r="13" spans="1:10" ht="14.5" x14ac:dyDescent="0.35">
      <c r="A13" s="161" t="s">
        <v>160</v>
      </c>
      <c r="B13" s="162" t="s">
        <v>161</v>
      </c>
      <c r="C13" s="163">
        <f>ROUND(NSF5GPG!CJ55,0)</f>
        <v>15900</v>
      </c>
      <c r="E13" s="373" t="s">
        <v>161</v>
      </c>
      <c r="F13" s="373" t="s">
        <v>286</v>
      </c>
      <c r="G13" s="373" t="s">
        <v>287</v>
      </c>
      <c r="H13" s="373" t="s">
        <v>288</v>
      </c>
      <c r="I13" s="373">
        <f t="shared" si="0"/>
        <v>15900</v>
      </c>
      <c r="J13" s="373">
        <f t="shared" si="1"/>
        <v>0</v>
      </c>
    </row>
    <row r="14" spans="1:10" ht="14.5" x14ac:dyDescent="0.35">
      <c r="A14" s="161" t="s">
        <v>162</v>
      </c>
      <c r="B14" s="162" t="s">
        <v>163</v>
      </c>
      <c r="C14" s="163">
        <f>ROUND(NSF5GPG!CI71,0)</f>
        <v>102900</v>
      </c>
      <c r="E14" s="373" t="s">
        <v>163</v>
      </c>
      <c r="F14" s="373" t="s">
        <v>289</v>
      </c>
      <c r="G14" s="373" t="s">
        <v>290</v>
      </c>
      <c r="H14" s="373" t="s">
        <v>162</v>
      </c>
      <c r="I14" s="373">
        <f t="shared" si="0"/>
        <v>102900</v>
      </c>
      <c r="J14" s="373">
        <f t="shared" si="1"/>
        <v>0</v>
      </c>
    </row>
    <row r="15" spans="1:10" ht="14.5" x14ac:dyDescent="0.35">
      <c r="A15" s="161" t="s">
        <v>164</v>
      </c>
      <c r="B15" s="162" t="s">
        <v>165</v>
      </c>
      <c r="C15" s="163">
        <f>ROUND(NSF5GPG!CJ66,0)</f>
        <v>0</v>
      </c>
      <c r="E15" s="373" t="s">
        <v>165</v>
      </c>
      <c r="F15" s="373" t="s">
        <v>291</v>
      </c>
      <c r="G15" s="373" t="s">
        <v>291</v>
      </c>
      <c r="H15" s="373" t="s">
        <v>292</v>
      </c>
      <c r="I15" s="373">
        <f t="shared" si="0"/>
        <v>0</v>
      </c>
      <c r="J15" s="373">
        <f t="shared" si="1"/>
        <v>0</v>
      </c>
    </row>
    <row r="16" spans="1:10" ht="14.5" x14ac:dyDescent="0.35">
      <c r="A16" s="161" t="s">
        <v>166</v>
      </c>
      <c r="B16" s="164"/>
      <c r="C16" s="163"/>
      <c r="E16" s="375"/>
      <c r="F16" s="375"/>
      <c r="G16" s="375"/>
      <c r="H16" s="375"/>
      <c r="I16" s="375"/>
      <c r="J16" s="375"/>
    </row>
    <row r="17" spans="1:10" ht="14.5" x14ac:dyDescent="0.35">
      <c r="A17" s="165" t="s">
        <v>167</v>
      </c>
      <c r="B17" s="162" t="s">
        <v>168</v>
      </c>
      <c r="C17" s="163">
        <f>ROUND(NSF5GPG!CI70,0)</f>
        <v>0</v>
      </c>
      <c r="E17" s="373" t="s">
        <v>168</v>
      </c>
      <c r="F17" s="373" t="s">
        <v>293</v>
      </c>
      <c r="G17" s="373" t="s">
        <v>294</v>
      </c>
      <c r="H17" s="373" t="s">
        <v>295</v>
      </c>
      <c r="I17" s="373">
        <f t="shared" ref="I17:I18" si="2">IF($C17&gt;0,$C17,0)</f>
        <v>0</v>
      </c>
      <c r="J17" s="373">
        <f t="shared" ref="J17:J18" si="3">IF($C17&lt;0,$C17,0)</f>
        <v>0</v>
      </c>
    </row>
    <row r="18" spans="1:10" ht="14.5" x14ac:dyDescent="0.35">
      <c r="A18" s="165" t="s">
        <v>169</v>
      </c>
      <c r="B18" s="162" t="s">
        <v>170</v>
      </c>
      <c r="C18" s="163">
        <f>ROUND(NSF5GPG!CJ70-NSF5GPG!CI70,0)</f>
        <v>0</v>
      </c>
      <c r="E18" s="373" t="s">
        <v>170</v>
      </c>
      <c r="F18" s="373" t="s">
        <v>296</v>
      </c>
      <c r="G18" s="373" t="s">
        <v>297</v>
      </c>
      <c r="H18" s="373" t="s">
        <v>298</v>
      </c>
      <c r="I18" s="373">
        <f t="shared" si="2"/>
        <v>0</v>
      </c>
      <c r="J18" s="373">
        <f t="shared" si="3"/>
        <v>0</v>
      </c>
    </row>
    <row r="19" spans="1:10" ht="14.5" x14ac:dyDescent="0.35">
      <c r="A19" s="161" t="s">
        <v>171</v>
      </c>
      <c r="B19" s="164"/>
      <c r="C19" s="163"/>
      <c r="E19" s="375"/>
      <c r="F19" s="375"/>
      <c r="G19" s="375"/>
      <c r="H19" s="375"/>
      <c r="I19" s="375"/>
      <c r="J19" s="375"/>
    </row>
    <row r="20" spans="1:10" ht="14.5" x14ac:dyDescent="0.35">
      <c r="A20" s="161" t="s">
        <v>172</v>
      </c>
      <c r="B20" s="162" t="s">
        <v>173</v>
      </c>
      <c r="C20" s="163">
        <v>0</v>
      </c>
      <c r="E20" s="373" t="s">
        <v>173</v>
      </c>
      <c r="F20" s="373" t="s">
        <v>299</v>
      </c>
      <c r="G20" s="373" t="s">
        <v>300</v>
      </c>
      <c r="H20" s="373" t="s">
        <v>172</v>
      </c>
      <c r="I20" s="373">
        <f t="shared" ref="I20:I25" si="4">IF($C20&gt;0,$C20,0)</f>
        <v>0</v>
      </c>
      <c r="J20" s="373">
        <f t="shared" ref="J20:J25" si="5">IF($C20&lt;0,$C20,0)</f>
        <v>0</v>
      </c>
    </row>
    <row r="21" spans="1:10" ht="14.5" x14ac:dyDescent="0.35">
      <c r="A21" s="161" t="s">
        <v>174</v>
      </c>
      <c r="B21" s="162" t="s">
        <v>175</v>
      </c>
      <c r="C21" s="163">
        <f>ROUND(NSF5GPG!CJ69,0)</f>
        <v>0</v>
      </c>
      <c r="E21" s="373" t="s">
        <v>175</v>
      </c>
      <c r="F21" s="373" t="s">
        <v>301</v>
      </c>
      <c r="G21" s="373" t="s">
        <v>302</v>
      </c>
      <c r="H21" s="373" t="s">
        <v>174</v>
      </c>
      <c r="I21" s="373">
        <f t="shared" si="4"/>
        <v>0</v>
      </c>
      <c r="J21" s="373">
        <f t="shared" si="5"/>
        <v>0</v>
      </c>
    </row>
    <row r="22" spans="1:10" ht="14.5" x14ac:dyDescent="0.35">
      <c r="A22" s="161" t="s">
        <v>176</v>
      </c>
      <c r="B22" s="162" t="s">
        <v>177</v>
      </c>
      <c r="C22" s="163">
        <f>ROUND(NSF5GPG!CJ67,0)</f>
        <v>0</v>
      </c>
      <c r="E22" s="373" t="s">
        <v>177</v>
      </c>
      <c r="F22" s="373" t="s">
        <v>303</v>
      </c>
      <c r="G22" s="373" t="s">
        <v>303</v>
      </c>
      <c r="H22" s="373" t="s">
        <v>176</v>
      </c>
      <c r="I22" s="373">
        <f t="shared" si="4"/>
        <v>0</v>
      </c>
      <c r="J22" s="373">
        <f t="shared" si="5"/>
        <v>0</v>
      </c>
    </row>
    <row r="23" spans="1:10" ht="14.5" x14ac:dyDescent="0.35">
      <c r="A23" s="161" t="s">
        <v>178</v>
      </c>
      <c r="B23" s="162" t="s">
        <v>179</v>
      </c>
      <c r="C23" s="163">
        <f>ROUND(NSF5GPG!CJ68,0)</f>
        <v>0</v>
      </c>
      <c r="E23" s="373" t="s">
        <v>179</v>
      </c>
      <c r="F23" s="373" t="s">
        <v>304</v>
      </c>
      <c r="G23" s="373" t="s">
        <v>304</v>
      </c>
      <c r="H23" s="373" t="s">
        <v>305</v>
      </c>
      <c r="I23" s="373">
        <f t="shared" si="4"/>
        <v>0</v>
      </c>
      <c r="J23" s="373">
        <f t="shared" si="5"/>
        <v>0</v>
      </c>
    </row>
    <row r="24" spans="1:10" ht="14.5" x14ac:dyDescent="0.35">
      <c r="A24" s="161" t="s">
        <v>180</v>
      </c>
      <c r="B24" s="162" t="s">
        <v>181</v>
      </c>
      <c r="C24" s="163">
        <v>0</v>
      </c>
      <c r="E24" s="373" t="s">
        <v>181</v>
      </c>
      <c r="F24" s="373" t="s">
        <v>306</v>
      </c>
      <c r="G24" s="373" t="s">
        <v>306</v>
      </c>
      <c r="H24" s="373" t="s">
        <v>180</v>
      </c>
      <c r="I24" s="373">
        <f t="shared" si="4"/>
        <v>0</v>
      </c>
      <c r="J24" s="373">
        <f t="shared" si="5"/>
        <v>0</v>
      </c>
    </row>
    <row r="25" spans="1:10" ht="14.5" x14ac:dyDescent="0.35">
      <c r="A25" s="161" t="s">
        <v>182</v>
      </c>
      <c r="B25" s="162" t="s">
        <v>183</v>
      </c>
      <c r="C25" s="163">
        <f>ROUND(NSF5GPG!CJ71-NSF5GPG!CI71,0)</f>
        <v>0</v>
      </c>
      <c r="E25" s="373" t="s">
        <v>183</v>
      </c>
      <c r="F25" s="373" t="s">
        <v>307</v>
      </c>
      <c r="G25" s="373" t="s">
        <v>308</v>
      </c>
      <c r="H25" s="373" t="s">
        <v>171</v>
      </c>
      <c r="I25" s="373">
        <f t="shared" si="4"/>
        <v>0</v>
      </c>
      <c r="J25" s="373">
        <f t="shared" si="5"/>
        <v>0</v>
      </c>
    </row>
    <row r="26" spans="1:10" ht="14.5" x14ac:dyDescent="0.35">
      <c r="A26" s="161" t="s">
        <v>184</v>
      </c>
      <c r="B26" s="164"/>
      <c r="C26" s="166">
        <f>SUM(C9:C25)</f>
        <v>399325</v>
      </c>
      <c r="E26" s="375"/>
      <c r="F26" s="375"/>
      <c r="G26" s="375"/>
      <c r="H26" s="375"/>
      <c r="I26" s="375"/>
      <c r="J26" s="375"/>
    </row>
    <row r="27" spans="1:10" ht="14.5" x14ac:dyDescent="0.35">
      <c r="A27" s="161" t="s">
        <v>185</v>
      </c>
      <c r="B27" s="162" t="s">
        <v>186</v>
      </c>
      <c r="C27" s="167">
        <f>ROUND(NSF5GPG!CJ77,0)</f>
        <v>157105</v>
      </c>
      <c r="E27" s="373" t="s">
        <v>186</v>
      </c>
      <c r="F27" s="373" t="s">
        <v>309</v>
      </c>
      <c r="G27" s="373" t="s">
        <v>309</v>
      </c>
      <c r="H27" s="373" t="s">
        <v>310</v>
      </c>
      <c r="I27" s="373">
        <f>IF($C27&gt;0,$C27,0)</f>
        <v>157105</v>
      </c>
      <c r="J27" s="373">
        <f>IF($C27&lt;0,$C27,0)</f>
        <v>0</v>
      </c>
    </row>
    <row r="28" spans="1:10" ht="15" thickBot="1" x14ac:dyDescent="0.4">
      <c r="A28" s="161" t="s">
        <v>187</v>
      </c>
      <c r="B28" s="164"/>
      <c r="C28" s="168">
        <f>SUM(C26:C27)</f>
        <v>556430</v>
      </c>
      <c r="E28" s="375"/>
      <c r="F28" s="375"/>
      <c r="G28" s="375"/>
      <c r="H28" s="375"/>
      <c r="I28" s="375"/>
      <c r="J28" s="375"/>
    </row>
    <row r="29" spans="1:10" ht="15" thickTop="1" x14ac:dyDescent="0.35">
      <c r="A29" s="171"/>
      <c r="B29" s="171"/>
      <c r="C29" s="171"/>
      <c r="E29" s="373"/>
      <c r="F29" s="373" t="s">
        <v>311</v>
      </c>
      <c r="G29" s="373" t="s">
        <v>312</v>
      </c>
      <c r="H29" s="373" t="s">
        <v>313</v>
      </c>
      <c r="I29" s="378">
        <f>NSF5GPG!CJ64</f>
        <v>0</v>
      </c>
      <c r="J29" s="373">
        <f>IF($C30&lt;0,$C30,0)</f>
        <v>0</v>
      </c>
    </row>
    <row r="30" spans="1:10" ht="12.5" x14ac:dyDescent="0.25">
      <c r="A30" s="377" t="s">
        <v>313</v>
      </c>
      <c r="B30" s="377"/>
      <c r="C30" s="377">
        <f>I29</f>
        <v>0</v>
      </c>
    </row>
    <row r="31" spans="1:10" ht="12.5" x14ac:dyDescent="0.25">
      <c r="A31" s="377"/>
      <c r="B31" s="377"/>
      <c r="C31" s="377"/>
    </row>
    <row r="32" spans="1:10" ht="12.5" x14ac:dyDescent="0.25">
      <c r="A32" s="377"/>
      <c r="B32" s="377"/>
      <c r="C32" s="377"/>
    </row>
    <row r="33" spans="1:3" ht="12.5" x14ac:dyDescent="0.25">
      <c r="A33" s="377"/>
      <c r="B33" s="377"/>
      <c r="C33" s="377">
        <f>C28+C30</f>
        <v>556430</v>
      </c>
    </row>
  </sheetData>
  <sheetProtection algorithmName="SHA-512" hashValue="mBFsNEBFtP2p6wO91sBV4lkJV3tSs/8bBndPUfVaXoefr+MdAegSOollDf/A/aOqr4KqCjiDMpAJD4v8b8K+mw==" saltValue="vnFQVCQ0xAQiUZdKbLmXHA==" spinCount="100000" sheet="1" selectLockedCells="1"/>
  <mergeCells count="1">
    <mergeCell ref="E7:J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O34"/>
  <sheetViews>
    <sheetView workbookViewId="0">
      <selection activeCell="E19" sqref="E19"/>
    </sheetView>
  </sheetViews>
  <sheetFormatPr defaultRowHeight="10" x14ac:dyDescent="0.2"/>
  <cols>
    <col min="1" max="4" width="3.44140625" customWidth="1"/>
    <col min="5" max="5" width="40" customWidth="1"/>
    <col min="6" max="6" width="40.109375" bestFit="1" customWidth="1"/>
    <col min="7" max="13" width="15.6640625" customWidth="1"/>
    <col min="14" max="14" width="23" customWidth="1"/>
    <col min="15" max="15" width="24.6640625" customWidth="1"/>
  </cols>
  <sheetData>
    <row r="2" spans="2:15" ht="18" x14ac:dyDescent="0.2">
      <c r="B2" s="374" t="s">
        <v>314</v>
      </c>
      <c r="C2" s="380"/>
      <c r="D2" s="380"/>
    </row>
    <row r="3" spans="2:15" s="381" customFormat="1" x14ac:dyDescent="0.2">
      <c r="D3" s="382"/>
    </row>
    <row r="4" spans="2:15" s="381" customFormat="1" ht="10.5" x14ac:dyDescent="0.2">
      <c r="B4" s="383"/>
      <c r="C4" s="382"/>
      <c r="D4" s="384"/>
      <c r="E4" s="385"/>
    </row>
    <row r="5" spans="2:15" s="381" customFormat="1" ht="10.5" x14ac:dyDescent="0.2">
      <c r="C5" s="382"/>
      <c r="D5" s="384"/>
      <c r="E5" s="385"/>
    </row>
    <row r="7" spans="2:15" ht="13" x14ac:dyDescent="0.3">
      <c r="B7" s="386"/>
      <c r="C7" s="387" t="s">
        <v>315</v>
      </c>
    </row>
    <row r="8" spans="2:15" ht="12.5" x14ac:dyDescent="0.25">
      <c r="D8" s="388" t="s">
        <v>316</v>
      </c>
    </row>
    <row r="9" spans="2:15" ht="12.5" x14ac:dyDescent="0.25">
      <c r="D9" s="388" t="s">
        <v>317</v>
      </c>
    </row>
    <row r="10" spans="2:15" ht="12.5" x14ac:dyDescent="0.25">
      <c r="D10" s="388"/>
    </row>
    <row r="11" spans="2:15" ht="13" x14ac:dyDescent="0.3">
      <c r="E11" s="389" t="s">
        <v>318</v>
      </c>
      <c r="F11" s="389" t="s">
        <v>319</v>
      </c>
      <c r="G11" s="389" t="s">
        <v>320</v>
      </c>
      <c r="H11" s="389" t="s">
        <v>321</v>
      </c>
      <c r="I11" s="389" t="s">
        <v>322</v>
      </c>
      <c r="J11" s="389" t="s">
        <v>323</v>
      </c>
      <c r="K11" s="389" t="s">
        <v>324</v>
      </c>
      <c r="L11" s="389" t="s">
        <v>325</v>
      </c>
      <c r="M11" s="389" t="s">
        <v>326</v>
      </c>
      <c r="N11" s="389" t="s">
        <v>327</v>
      </c>
      <c r="O11" s="389" t="s">
        <v>328</v>
      </c>
    </row>
    <row r="12" spans="2:15" x14ac:dyDescent="0.2">
      <c r="E12" s="392"/>
      <c r="F12" s="392"/>
      <c r="G12" s="392"/>
      <c r="H12" s="392"/>
      <c r="I12" s="392"/>
      <c r="J12" s="392"/>
      <c r="K12" s="392"/>
      <c r="L12" s="392"/>
      <c r="M12" s="392"/>
      <c r="N12" s="392"/>
      <c r="O12" s="392"/>
    </row>
    <row r="14" spans="2:15" ht="13" x14ac:dyDescent="0.3">
      <c r="C14" s="387" t="s">
        <v>329</v>
      </c>
    </row>
    <row r="15" spans="2:15" ht="13" x14ac:dyDescent="0.3">
      <c r="C15" s="387"/>
      <c r="D15" s="388" t="s">
        <v>330</v>
      </c>
    </row>
    <row r="16" spans="2:15" ht="13" x14ac:dyDescent="0.3">
      <c r="C16" s="387"/>
      <c r="D16" s="388" t="s">
        <v>331</v>
      </c>
    </row>
    <row r="17" spans="3:5" ht="13" x14ac:dyDescent="0.3">
      <c r="C17" s="387"/>
      <c r="D17" s="388"/>
    </row>
    <row r="18" spans="3:5" ht="13" x14ac:dyDescent="0.3">
      <c r="C18" s="387"/>
      <c r="D18" s="388"/>
      <c r="E18" s="389" t="s">
        <v>332</v>
      </c>
    </row>
    <row r="19" spans="3:5" ht="12.5" x14ac:dyDescent="0.25">
      <c r="E19" s="393"/>
    </row>
    <row r="21" spans="3:5" ht="13" x14ac:dyDescent="0.3">
      <c r="C21" s="387" t="s">
        <v>333</v>
      </c>
    </row>
    <row r="22" spans="3:5" ht="12.5" x14ac:dyDescent="0.25">
      <c r="C22" s="390"/>
      <c r="D22" s="388" t="s">
        <v>334</v>
      </c>
    </row>
    <row r="23" spans="3:5" ht="12.5" x14ac:dyDescent="0.25">
      <c r="E23" s="388" t="s">
        <v>335</v>
      </c>
    </row>
    <row r="24" spans="3:5" ht="12.5" x14ac:dyDescent="0.25">
      <c r="E24" s="388" t="s">
        <v>336</v>
      </c>
    </row>
    <row r="25" spans="3:5" ht="12.5" x14ac:dyDescent="0.25">
      <c r="E25" s="388"/>
    </row>
    <row r="26" spans="3:5" ht="13" x14ac:dyDescent="0.3">
      <c r="C26" s="387" t="s">
        <v>337</v>
      </c>
    </row>
    <row r="27" spans="3:5" ht="12.5" x14ac:dyDescent="0.25">
      <c r="D27" s="388" t="s">
        <v>338</v>
      </c>
    </row>
    <row r="29" spans="3:5" ht="13" x14ac:dyDescent="0.3">
      <c r="C29" s="387" t="s">
        <v>339</v>
      </c>
    </row>
    <row r="30" spans="3:5" ht="12.5" x14ac:dyDescent="0.25">
      <c r="D30" s="391" t="s">
        <v>340</v>
      </c>
    </row>
    <row r="32" spans="3:5" ht="13" x14ac:dyDescent="0.3">
      <c r="C32" s="387" t="s">
        <v>341</v>
      </c>
    </row>
    <row r="33" spans="4:4" ht="12.5" x14ac:dyDescent="0.25">
      <c r="D33" s="388" t="s">
        <v>342</v>
      </c>
    </row>
    <row r="34" spans="4:4" ht="12.5" x14ac:dyDescent="0.25">
      <c r="D34" s="388" t="s">
        <v>343</v>
      </c>
    </row>
  </sheetData>
  <sheetProtection algorithmName="SHA-512" hashValue="b3Q5ryhXdezfvMFtz29lxo+Pjw/u3MOll727GYGPGbRJvOHakFGaBFcr2v0BuIPxCR4zaeA0qL0qwNOtmKFi7w==" saltValue="kb+Mp4hS9YvSU+QjEX10uQ==" spinCount="100000" sheet="1" objects="1" scenarios="1"/>
  <protectedRanges>
    <protectedRange sqref="E19" name="Budget Memo_1"/>
    <protectedRange sqref="E12:O12" name="WD Report Results_1"/>
  </protectedRange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6"/>
  <sheetViews>
    <sheetView workbookViewId="0">
      <selection activeCell="D30" sqref="D30"/>
    </sheetView>
  </sheetViews>
  <sheetFormatPr defaultRowHeight="10" x14ac:dyDescent="0.2"/>
  <cols>
    <col min="1" max="1" width="12.33203125" bestFit="1" customWidth="1"/>
    <col min="2" max="2" width="12.109375" bestFit="1" customWidth="1"/>
    <col min="4" max="4" width="23.77734375" bestFit="1" customWidth="1"/>
    <col min="5" max="5" width="15.109375" bestFit="1" customWidth="1"/>
    <col min="6" max="6" width="10.33203125" bestFit="1" customWidth="1"/>
    <col min="8" max="8" width="7.6640625" bestFit="1" customWidth="1"/>
    <col min="9" max="9" width="27.33203125" bestFit="1" customWidth="1"/>
    <col min="10" max="10" width="30.44140625" customWidth="1"/>
    <col min="11" max="11" width="14.109375" bestFit="1" customWidth="1"/>
  </cols>
  <sheetData>
    <row r="1" spans="1:11" ht="18" x14ac:dyDescent="0.4">
      <c r="A1" s="447" t="s">
        <v>344</v>
      </c>
      <c r="B1" s="447"/>
      <c r="C1" s="447"/>
      <c r="D1" s="447"/>
      <c r="E1" s="447"/>
      <c r="F1" s="447"/>
      <c r="G1" s="447"/>
      <c r="H1" s="447"/>
      <c r="I1" s="447"/>
      <c r="J1" s="447"/>
      <c r="K1" s="447"/>
    </row>
    <row r="2" spans="1:11" ht="10.5" x14ac:dyDescent="0.25">
      <c r="A2" s="394" t="s">
        <v>345</v>
      </c>
      <c r="B2" s="448" t="s">
        <v>346</v>
      </c>
      <c r="C2" s="449"/>
      <c r="D2" s="449"/>
      <c r="E2" s="450"/>
      <c r="F2" s="451" t="s">
        <v>347</v>
      </c>
      <c r="G2" s="452"/>
      <c r="H2" s="448" t="s">
        <v>348</v>
      </c>
      <c r="I2" s="449"/>
      <c r="J2" s="449"/>
      <c r="K2" s="450"/>
    </row>
    <row r="3" spans="1:11" ht="10.5" x14ac:dyDescent="0.25">
      <c r="A3" s="394" t="s">
        <v>349</v>
      </c>
      <c r="B3" s="395" t="s">
        <v>350</v>
      </c>
      <c r="C3" s="395" t="s">
        <v>351</v>
      </c>
      <c r="D3" s="395" t="s">
        <v>351</v>
      </c>
      <c r="E3" s="395" t="s">
        <v>351</v>
      </c>
      <c r="F3" s="395" t="s">
        <v>351</v>
      </c>
      <c r="G3" s="395" t="s">
        <v>351</v>
      </c>
      <c r="H3" s="395" t="s">
        <v>351</v>
      </c>
      <c r="I3" s="395" t="s">
        <v>350</v>
      </c>
      <c r="J3" s="395" t="s">
        <v>350</v>
      </c>
      <c r="K3" s="395" t="s">
        <v>351</v>
      </c>
    </row>
    <row r="4" spans="1:11" ht="10.5" x14ac:dyDescent="0.25">
      <c r="A4" s="394" t="s">
        <v>352</v>
      </c>
      <c r="B4" s="395" t="s">
        <v>353</v>
      </c>
      <c r="C4" s="395" t="s">
        <v>354</v>
      </c>
      <c r="D4" s="395" t="s">
        <v>355</v>
      </c>
      <c r="E4" s="395" t="s">
        <v>356</v>
      </c>
      <c r="F4" s="395" t="s">
        <v>353</v>
      </c>
      <c r="G4" s="395" t="s">
        <v>357</v>
      </c>
      <c r="H4" s="395" t="s">
        <v>356</v>
      </c>
      <c r="I4" s="395" t="s">
        <v>358</v>
      </c>
      <c r="J4" s="395" t="s">
        <v>318</v>
      </c>
      <c r="K4" s="395" t="s">
        <v>353</v>
      </c>
    </row>
    <row r="5" spans="1:11" ht="10.5" x14ac:dyDescent="0.25">
      <c r="A5" s="394" t="s">
        <v>359</v>
      </c>
      <c r="B5" s="396" t="s">
        <v>360</v>
      </c>
      <c r="C5" s="396" t="s">
        <v>361</v>
      </c>
      <c r="D5" s="396" t="s">
        <v>362</v>
      </c>
      <c r="E5" s="396" t="s">
        <v>363</v>
      </c>
      <c r="F5" s="396" t="s">
        <v>364</v>
      </c>
      <c r="G5" s="396" t="s">
        <v>365</v>
      </c>
      <c r="H5" s="396" t="s">
        <v>366</v>
      </c>
      <c r="I5" s="396" t="s">
        <v>367</v>
      </c>
      <c r="J5" s="396" t="s">
        <v>368</v>
      </c>
      <c r="K5" s="396" t="s">
        <v>332</v>
      </c>
    </row>
    <row r="6" spans="1:11" s="379" customFormat="1" x14ac:dyDescent="0.2">
      <c r="B6" s="379">
        <v>1</v>
      </c>
      <c r="D6" s="379" t="s">
        <v>369</v>
      </c>
      <c r="E6" s="379" t="s">
        <v>370</v>
      </c>
      <c r="H6" s="379" t="s">
        <v>370</v>
      </c>
      <c r="I6" s="379" t="s">
        <v>371</v>
      </c>
      <c r="J6" s="379">
        <f>'WD Load - Input and Instruction'!E12</f>
        <v>0</v>
      </c>
      <c r="K6" s="379">
        <f>'WD Load - Input and Instruction'!E19</f>
        <v>0</v>
      </c>
    </row>
  </sheetData>
  <sheetProtection algorithmName="SHA-512" hashValue="hdCIOoPiivvj9I2YsNtl8obuAtDcK5qdrMEADUaH4NZSGithaq10fdtEM3PcVNgVxzHa1qp/epXs6z/IIgK8Cw==" saltValue="oLBkuZa5NjFlZcyKvyzMFw==" spinCount="100000" sheet="1" objects="1" scenarios="1"/>
  <mergeCells count="4">
    <mergeCell ref="A1:K1"/>
    <mergeCell ref="B2:E2"/>
    <mergeCell ref="F2:G2"/>
    <mergeCell ref="H2:K2"/>
  </mergeCells>
  <dataValidations count="5">
    <dataValidation type="list" allowBlank="1" showInputMessage="1" showErrorMessage="1" sqref="C4" xr:uid="{00000000-0002-0000-0600-000000000000}">
      <formula1>"WID,Plan_ID"</formula1>
    </dataValidation>
    <dataValidation type="list" allowBlank="1" showInputMessage="1" showErrorMessage="1" sqref="D4" xr:uid="{00000000-0002-0000-0600-000001000000}">
      <formula1>"WID,Budget_Import_Mode_ID"</formula1>
    </dataValidation>
    <dataValidation type="list" allowBlank="1" showInputMessage="1" showErrorMessage="1" sqref="G4" xr:uid="{00000000-0002-0000-0600-000002000000}">
      <formula1>"Contingent_Worker_ID,WID,Employee_ID"</formula1>
    </dataValidation>
    <dataValidation type="list" allowBlank="1" showInputMessage="1" showErrorMessage="1" sqref="I4" xr:uid="{00000000-0002-0000-0600-000003000000}">
      <formula1>"WID,Budget_Structure_ID"</formula1>
    </dataValidation>
    <dataValidation type="list" allowBlank="1" showInputMessage="1" showErrorMessage="1" sqref="J4" xr:uid="{00000000-0002-0000-0600-000004000000}">
      <formula1>"Project_Budget_ID,Award_Proposal_ID,WID,Award_Reference_ID,Custom_Budget_ID"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21"/>
  <sheetViews>
    <sheetView workbookViewId="0">
      <selection activeCell="G12" sqref="G12"/>
    </sheetView>
  </sheetViews>
  <sheetFormatPr defaultRowHeight="10" x14ac:dyDescent="0.2"/>
  <cols>
    <col min="7" max="7" width="23.44140625" bestFit="1" customWidth="1"/>
    <col min="9" max="9" width="30.33203125" bestFit="1" customWidth="1"/>
    <col min="10" max="10" width="16.77734375" bestFit="1" customWidth="1"/>
    <col min="20" max="20" width="26.44140625" bestFit="1" customWidth="1"/>
  </cols>
  <sheetData>
    <row r="1" spans="1:23" ht="18" x14ac:dyDescent="0.4">
      <c r="A1" s="447" t="s">
        <v>372</v>
      </c>
      <c r="B1" s="447"/>
      <c r="C1" s="447"/>
      <c r="D1" s="447"/>
      <c r="E1" s="447"/>
      <c r="F1" s="447"/>
      <c r="G1" s="447"/>
      <c r="H1" s="447"/>
      <c r="I1" s="447"/>
      <c r="J1" s="447"/>
      <c r="K1" s="447"/>
      <c r="L1" s="447"/>
      <c r="M1" s="447"/>
      <c r="N1" s="447"/>
      <c r="O1" s="447"/>
      <c r="P1" s="447"/>
      <c r="Q1" s="447"/>
      <c r="R1" s="447"/>
      <c r="S1" s="447"/>
      <c r="T1" s="447"/>
      <c r="U1" s="447"/>
      <c r="V1" s="447"/>
      <c r="W1" s="447"/>
    </row>
    <row r="2" spans="1:23" ht="10.5" x14ac:dyDescent="0.25">
      <c r="A2" s="394" t="s">
        <v>345</v>
      </c>
      <c r="B2" s="448" t="s">
        <v>346</v>
      </c>
      <c r="C2" s="449"/>
      <c r="D2" s="449"/>
      <c r="E2" s="449"/>
      <c r="F2" s="449"/>
      <c r="G2" s="449"/>
      <c r="H2" s="449"/>
      <c r="I2" s="449"/>
      <c r="J2" s="449"/>
      <c r="K2" s="449"/>
      <c r="L2" s="449"/>
      <c r="M2" s="449"/>
      <c r="N2" s="449"/>
      <c r="O2" s="449"/>
      <c r="P2" s="449"/>
      <c r="Q2" s="449"/>
      <c r="R2" s="449"/>
      <c r="S2" s="449"/>
      <c r="T2" s="449"/>
      <c r="U2" s="449"/>
      <c r="V2" s="449"/>
      <c r="W2" s="450"/>
    </row>
    <row r="3" spans="1:23" ht="10.5" x14ac:dyDescent="0.25">
      <c r="A3" s="394" t="s">
        <v>349</v>
      </c>
      <c r="B3" s="395" t="s">
        <v>350</v>
      </c>
      <c r="C3" s="395" t="s">
        <v>350</v>
      </c>
      <c r="D3" s="395" t="s">
        <v>351</v>
      </c>
      <c r="E3" s="395" t="s">
        <v>350</v>
      </c>
      <c r="F3" s="395" t="s">
        <v>351</v>
      </c>
      <c r="G3" s="395" t="s">
        <v>350</v>
      </c>
      <c r="H3" s="395" t="s">
        <v>351</v>
      </c>
      <c r="I3" s="395" t="s">
        <v>350</v>
      </c>
      <c r="J3" s="395" t="s">
        <v>351</v>
      </c>
      <c r="K3" s="395" t="s">
        <v>351</v>
      </c>
      <c r="L3" s="395" t="s">
        <v>351</v>
      </c>
      <c r="M3" s="395" t="s">
        <v>351</v>
      </c>
      <c r="N3" s="395" t="s">
        <v>351</v>
      </c>
      <c r="O3" s="395" t="s">
        <v>351</v>
      </c>
      <c r="P3" s="395" t="s">
        <v>351</v>
      </c>
      <c r="Q3" s="395" t="s">
        <v>351</v>
      </c>
      <c r="R3" s="395" t="s">
        <v>351</v>
      </c>
      <c r="S3" s="395" t="s">
        <v>351</v>
      </c>
      <c r="T3" s="395" t="s">
        <v>351</v>
      </c>
      <c r="U3" s="395" t="s">
        <v>351</v>
      </c>
      <c r="V3" s="395" t="s">
        <v>351</v>
      </c>
      <c r="W3" s="395" t="s">
        <v>351</v>
      </c>
    </row>
    <row r="4" spans="1:23" ht="10.5" x14ac:dyDescent="0.25">
      <c r="A4" s="394" t="s">
        <v>352</v>
      </c>
      <c r="B4" s="395" t="s">
        <v>353</v>
      </c>
      <c r="C4" s="395" t="s">
        <v>353</v>
      </c>
      <c r="D4" s="395" t="s">
        <v>353</v>
      </c>
      <c r="E4" s="395" t="s">
        <v>373</v>
      </c>
      <c r="F4" s="395" t="s">
        <v>374</v>
      </c>
      <c r="G4" s="395" t="s">
        <v>375</v>
      </c>
      <c r="H4" s="395" t="s">
        <v>376</v>
      </c>
      <c r="I4" s="395" t="s">
        <v>377</v>
      </c>
      <c r="J4" s="395" t="s">
        <v>378</v>
      </c>
      <c r="K4" s="395" t="s">
        <v>379</v>
      </c>
      <c r="L4" s="395" t="s">
        <v>379</v>
      </c>
      <c r="M4" s="395" t="s">
        <v>353</v>
      </c>
      <c r="N4" s="395" t="s">
        <v>380</v>
      </c>
      <c r="O4" s="395" t="s">
        <v>381</v>
      </c>
      <c r="P4" s="395" t="s">
        <v>382</v>
      </c>
      <c r="Q4" s="395" t="s">
        <v>383</v>
      </c>
      <c r="R4" s="395" t="s">
        <v>384</v>
      </c>
      <c r="S4" s="395" t="s">
        <v>384</v>
      </c>
      <c r="T4" s="395" t="s">
        <v>385</v>
      </c>
      <c r="U4" s="395" t="s">
        <v>384</v>
      </c>
      <c r="V4" s="395" t="s">
        <v>384</v>
      </c>
      <c r="W4" s="395" t="s">
        <v>384</v>
      </c>
    </row>
    <row r="5" spans="1:23" ht="10.5" x14ac:dyDescent="0.25">
      <c r="A5" s="394" t="s">
        <v>359</v>
      </c>
      <c r="B5" s="396" t="s">
        <v>386</v>
      </c>
      <c r="C5" s="396" t="s">
        <v>387</v>
      </c>
      <c r="D5" s="396" t="s">
        <v>388</v>
      </c>
      <c r="E5" s="396" t="s">
        <v>389</v>
      </c>
      <c r="F5" s="396" t="s">
        <v>390</v>
      </c>
      <c r="G5" s="396" t="s">
        <v>391</v>
      </c>
      <c r="H5" s="396" t="s">
        <v>392</v>
      </c>
      <c r="I5" s="396" t="s">
        <v>393</v>
      </c>
      <c r="J5" s="396" t="s">
        <v>394</v>
      </c>
      <c r="K5" s="396" t="s">
        <v>395</v>
      </c>
      <c r="L5" s="396" t="s">
        <v>396</v>
      </c>
      <c r="M5" s="396" t="s">
        <v>397</v>
      </c>
      <c r="N5" s="396" t="s">
        <v>320</v>
      </c>
      <c r="O5" s="396" t="s">
        <v>321</v>
      </c>
      <c r="P5" s="396" t="s">
        <v>322</v>
      </c>
      <c r="Q5" s="396" t="s">
        <v>323</v>
      </c>
      <c r="R5" s="396" t="s">
        <v>324</v>
      </c>
      <c r="S5" s="396" t="s">
        <v>325</v>
      </c>
      <c r="T5" s="396" t="s">
        <v>398</v>
      </c>
      <c r="U5" s="396" t="s">
        <v>399</v>
      </c>
      <c r="V5" s="396" t="s">
        <v>327</v>
      </c>
      <c r="W5" s="396" t="s">
        <v>328</v>
      </c>
    </row>
    <row r="6" spans="1:23" s="379" customFormat="1" x14ac:dyDescent="0.2">
      <c r="B6" s="379" t="s">
        <v>400</v>
      </c>
      <c r="C6" s="379" t="s">
        <v>400</v>
      </c>
      <c r="D6" s="379" t="s">
        <v>400</v>
      </c>
      <c r="E6" s="379" t="s">
        <v>401</v>
      </c>
      <c r="F6" s="379">
        <v>1</v>
      </c>
      <c r="G6" s="379">
        <f>'WD Load - Input and Instruction'!$F$12</f>
        <v>0</v>
      </c>
      <c r="H6" s="379" t="s">
        <v>278</v>
      </c>
      <c r="I6" s="379" t="s">
        <v>402</v>
      </c>
      <c r="K6" s="379">
        <f>VLOOKUP($H6,'BA Upload'!$G:$J,3,FALSE)</f>
        <v>242921</v>
      </c>
      <c r="L6" s="379">
        <f>VLOOKUP($H6,'BA Upload'!$G:$J,4,FALSE)</f>
        <v>0</v>
      </c>
      <c r="N6" s="379">
        <f>'WD Load - Input and Instruction'!$G$12</f>
        <v>0</v>
      </c>
      <c r="O6" s="379">
        <f>'WD Load - Input and Instruction'!$H$12</f>
        <v>0</v>
      </c>
      <c r="P6" s="379">
        <f>'WD Load - Input and Instruction'!$I$12</f>
        <v>0</v>
      </c>
      <c r="Q6" s="379">
        <f>'WD Load - Input and Instruction'!$J$12</f>
        <v>0</v>
      </c>
      <c r="R6" s="379">
        <f>'WD Load - Input and Instruction'!$K$12</f>
        <v>0</v>
      </c>
      <c r="S6" s="379">
        <f>'WD Load - Input and Instruction'!$L$12</f>
        <v>0</v>
      </c>
      <c r="T6" s="379" t="s">
        <v>279</v>
      </c>
      <c r="U6" s="379">
        <f>'WD Load - Input and Instruction'!$M$12</f>
        <v>0</v>
      </c>
    </row>
    <row r="7" spans="1:23" s="379" customFormat="1" x14ac:dyDescent="0.2">
      <c r="B7" s="379" t="s">
        <v>400</v>
      </c>
      <c r="C7" s="379">
        <v>2</v>
      </c>
      <c r="D7" s="379">
        <v>2</v>
      </c>
      <c r="E7" s="379" t="s">
        <v>401</v>
      </c>
      <c r="F7" s="379">
        <v>1</v>
      </c>
      <c r="G7" s="379">
        <f>'WD Load - Input and Instruction'!$F$12</f>
        <v>0</v>
      </c>
      <c r="H7" s="379" t="s">
        <v>281</v>
      </c>
      <c r="I7" s="379" t="s">
        <v>402</v>
      </c>
      <c r="K7" s="379">
        <f>VLOOKUP($H7,'BA Upload'!$G:$J,3,FALSE)</f>
        <v>25484</v>
      </c>
      <c r="L7" s="379">
        <f>VLOOKUP($H7,'BA Upload'!$G:$J,4,FALSE)</f>
        <v>0</v>
      </c>
      <c r="N7" s="379">
        <f>'WD Load - Input and Instruction'!$G$12</f>
        <v>0</v>
      </c>
      <c r="O7" s="379">
        <f>'WD Load - Input and Instruction'!$H$12</f>
        <v>0</v>
      </c>
      <c r="P7" s="379">
        <f>'WD Load - Input and Instruction'!$I$12</f>
        <v>0</v>
      </c>
      <c r="Q7" s="379">
        <f>'WD Load - Input and Instruction'!$J$12</f>
        <v>0</v>
      </c>
      <c r="R7" s="379">
        <f>'WD Load - Input and Instruction'!$K$12</f>
        <v>0</v>
      </c>
      <c r="S7" s="379">
        <f>'WD Load - Input and Instruction'!$L$12</f>
        <v>0</v>
      </c>
      <c r="T7" s="379" t="s">
        <v>154</v>
      </c>
      <c r="U7" s="379">
        <f>'WD Load - Input and Instruction'!$M$12</f>
        <v>0</v>
      </c>
    </row>
    <row r="8" spans="1:23" s="379" customFormat="1" x14ac:dyDescent="0.2">
      <c r="B8" s="379" t="s">
        <v>400</v>
      </c>
      <c r="C8" s="379">
        <v>3</v>
      </c>
      <c r="D8" s="379">
        <v>3</v>
      </c>
      <c r="E8" s="379" t="s">
        <v>401</v>
      </c>
      <c r="F8" s="379">
        <v>1</v>
      </c>
      <c r="G8" s="379">
        <f>'WD Load - Input and Instruction'!$F$12</f>
        <v>0</v>
      </c>
      <c r="H8" s="379" t="s">
        <v>282</v>
      </c>
      <c r="I8" s="379" t="s">
        <v>402</v>
      </c>
      <c r="K8" s="379">
        <f>VLOOKUP($H8,'BA Upload'!$G:$J,3,FALSE)</f>
        <v>0</v>
      </c>
      <c r="L8" s="379">
        <f>VLOOKUP($H8,'BA Upload'!$G:$J,4,FALSE)</f>
        <v>0</v>
      </c>
      <c r="N8" s="379">
        <f>'WD Load - Input and Instruction'!$G$12</f>
        <v>0</v>
      </c>
      <c r="O8" s="379">
        <f>'WD Load - Input and Instruction'!$H$12</f>
        <v>0</v>
      </c>
      <c r="P8" s="379">
        <f>'WD Load - Input and Instruction'!$I$12</f>
        <v>0</v>
      </c>
      <c r="Q8" s="379">
        <f>'WD Load - Input and Instruction'!$J$12</f>
        <v>0</v>
      </c>
      <c r="R8" s="379">
        <f>'WD Load - Input and Instruction'!$K$12</f>
        <v>0</v>
      </c>
      <c r="S8" s="379">
        <f>'WD Load - Input and Instruction'!$L$12</f>
        <v>0</v>
      </c>
      <c r="T8" s="379" t="s">
        <v>156</v>
      </c>
      <c r="U8" s="379">
        <f>'WD Load - Input and Instruction'!$M$12</f>
        <v>0</v>
      </c>
    </row>
    <row r="9" spans="1:23" s="379" customFormat="1" x14ac:dyDescent="0.2">
      <c r="B9" s="379" t="s">
        <v>400</v>
      </c>
      <c r="C9" s="379">
        <v>4</v>
      </c>
      <c r="D9" s="379">
        <v>4</v>
      </c>
      <c r="E9" s="379" t="s">
        <v>401</v>
      </c>
      <c r="F9" s="379">
        <v>1</v>
      </c>
      <c r="G9" s="379">
        <f>'WD Load - Input and Instruction'!$F$12</f>
        <v>0</v>
      </c>
      <c r="H9" s="379" t="s">
        <v>284</v>
      </c>
      <c r="I9" s="379" t="s">
        <v>402</v>
      </c>
      <c r="K9" s="379">
        <f>VLOOKUP($H9,'BA Upload'!$G:$J,3,FALSE)</f>
        <v>12120</v>
      </c>
      <c r="L9" s="379">
        <f>VLOOKUP($H9,'BA Upload'!$G:$J,4,FALSE)</f>
        <v>0</v>
      </c>
      <c r="N9" s="379">
        <f>'WD Load - Input and Instruction'!$G$12</f>
        <v>0</v>
      </c>
      <c r="O9" s="379">
        <f>'WD Load - Input and Instruction'!$H$12</f>
        <v>0</v>
      </c>
      <c r="P9" s="379">
        <f>'WD Load - Input and Instruction'!$I$12</f>
        <v>0</v>
      </c>
      <c r="Q9" s="379">
        <f>'WD Load - Input and Instruction'!$J$12</f>
        <v>0</v>
      </c>
      <c r="R9" s="379">
        <f>'WD Load - Input and Instruction'!$K$12</f>
        <v>0</v>
      </c>
      <c r="S9" s="379">
        <f>'WD Load - Input and Instruction'!$L$12</f>
        <v>0</v>
      </c>
      <c r="T9" s="379" t="s">
        <v>285</v>
      </c>
      <c r="U9" s="379">
        <f>'WD Load - Input and Instruction'!$M$12</f>
        <v>0</v>
      </c>
    </row>
    <row r="10" spans="1:23" s="379" customFormat="1" x14ac:dyDescent="0.2">
      <c r="B10" s="379" t="s">
        <v>400</v>
      </c>
      <c r="C10" s="379">
        <v>5</v>
      </c>
      <c r="D10" s="379">
        <v>5</v>
      </c>
      <c r="E10" s="379" t="s">
        <v>401</v>
      </c>
      <c r="F10" s="379">
        <v>1</v>
      </c>
      <c r="G10" s="379">
        <f>'WD Load - Input and Instruction'!$F$12</f>
        <v>0</v>
      </c>
      <c r="H10" s="379" t="s">
        <v>287</v>
      </c>
      <c r="I10" s="379" t="s">
        <v>402</v>
      </c>
      <c r="K10" s="379">
        <f>VLOOKUP($H10,'BA Upload'!$G:$J,3,FALSE)</f>
        <v>15900</v>
      </c>
      <c r="L10" s="379">
        <f>VLOOKUP($H10,'BA Upload'!$G:$J,4,FALSE)</f>
        <v>0</v>
      </c>
      <c r="N10" s="379">
        <f>'WD Load - Input and Instruction'!$G$12</f>
        <v>0</v>
      </c>
      <c r="O10" s="379">
        <f>'WD Load - Input and Instruction'!$H$12</f>
        <v>0</v>
      </c>
      <c r="P10" s="379">
        <f>'WD Load - Input and Instruction'!$I$12</f>
        <v>0</v>
      </c>
      <c r="Q10" s="379">
        <f>'WD Load - Input and Instruction'!$J$12</f>
        <v>0</v>
      </c>
      <c r="R10" s="379">
        <f>'WD Load - Input and Instruction'!$K$12</f>
        <v>0</v>
      </c>
      <c r="S10" s="379">
        <f>'WD Load - Input and Instruction'!$L$12</f>
        <v>0</v>
      </c>
      <c r="T10" s="379" t="s">
        <v>288</v>
      </c>
      <c r="U10" s="379">
        <f>'WD Load - Input and Instruction'!$M$12</f>
        <v>0</v>
      </c>
    </row>
    <row r="11" spans="1:23" s="379" customFormat="1" x14ac:dyDescent="0.2">
      <c r="B11" s="379" t="s">
        <v>400</v>
      </c>
      <c r="C11" s="379">
        <v>6</v>
      </c>
      <c r="D11" s="379">
        <v>6</v>
      </c>
      <c r="E11" s="379" t="s">
        <v>401</v>
      </c>
      <c r="F11" s="379">
        <v>1</v>
      </c>
      <c r="G11" s="379">
        <f>'WD Load - Input and Instruction'!$F$12</f>
        <v>0</v>
      </c>
      <c r="H11" s="379" t="s">
        <v>290</v>
      </c>
      <c r="I11" s="379" t="s">
        <v>402</v>
      </c>
      <c r="K11" s="379">
        <f>VLOOKUP($H11,'BA Upload'!$G:$J,3,FALSE)</f>
        <v>102900</v>
      </c>
      <c r="L11" s="379">
        <f>VLOOKUP($H11,'BA Upload'!$G:$J,4,FALSE)</f>
        <v>0</v>
      </c>
      <c r="N11" s="379">
        <f>'WD Load - Input and Instruction'!$G$12</f>
        <v>0</v>
      </c>
      <c r="O11" s="379">
        <f>'WD Load - Input and Instruction'!$H$12</f>
        <v>0</v>
      </c>
      <c r="P11" s="379">
        <f>'WD Load - Input and Instruction'!$I$12</f>
        <v>0</v>
      </c>
      <c r="Q11" s="379">
        <f>'WD Load - Input and Instruction'!$J$12</f>
        <v>0</v>
      </c>
      <c r="R11" s="379">
        <f>'WD Load - Input and Instruction'!$K$12</f>
        <v>0</v>
      </c>
      <c r="S11" s="379">
        <f>'WD Load - Input and Instruction'!$L$12</f>
        <v>0</v>
      </c>
      <c r="T11" s="379" t="s">
        <v>162</v>
      </c>
      <c r="U11" s="379">
        <f>'WD Load - Input and Instruction'!$M$12</f>
        <v>0</v>
      </c>
    </row>
    <row r="12" spans="1:23" s="379" customFormat="1" x14ac:dyDescent="0.2">
      <c r="B12" s="379" t="s">
        <v>400</v>
      </c>
      <c r="C12" s="379">
        <v>7</v>
      </c>
      <c r="D12" s="379">
        <v>7</v>
      </c>
      <c r="E12" s="379" t="s">
        <v>401</v>
      </c>
      <c r="F12" s="379">
        <v>1</v>
      </c>
      <c r="G12" s="379">
        <f>'WD Load - Input and Instruction'!$F$12</f>
        <v>0</v>
      </c>
      <c r="H12" s="379" t="s">
        <v>291</v>
      </c>
      <c r="I12" s="379" t="s">
        <v>402</v>
      </c>
      <c r="K12" s="379">
        <f>VLOOKUP($H12,'BA Upload'!$G:$J,3,FALSE)</f>
        <v>0</v>
      </c>
      <c r="L12" s="379">
        <f>VLOOKUP($H12,'BA Upload'!$G:$J,4,FALSE)</f>
        <v>0</v>
      </c>
      <c r="N12" s="379">
        <f>'WD Load - Input and Instruction'!$G$12</f>
        <v>0</v>
      </c>
      <c r="O12" s="379">
        <f>'WD Load - Input and Instruction'!$H$12</f>
        <v>0</v>
      </c>
      <c r="P12" s="379">
        <f>'WD Load - Input and Instruction'!$I$12</f>
        <v>0</v>
      </c>
      <c r="Q12" s="379">
        <f>'WD Load - Input and Instruction'!$J$12</f>
        <v>0</v>
      </c>
      <c r="R12" s="379">
        <f>'WD Load - Input and Instruction'!$K$12</f>
        <v>0</v>
      </c>
      <c r="S12" s="379">
        <f>'WD Load - Input and Instruction'!$L$12</f>
        <v>0</v>
      </c>
      <c r="T12" s="379" t="s">
        <v>292</v>
      </c>
      <c r="U12" s="379">
        <f>'WD Load - Input and Instruction'!$M$12</f>
        <v>0</v>
      </c>
    </row>
    <row r="13" spans="1:23" s="379" customFormat="1" x14ac:dyDescent="0.2">
      <c r="B13" s="379" t="s">
        <v>400</v>
      </c>
      <c r="C13" s="379">
        <v>8</v>
      </c>
      <c r="D13" s="379">
        <v>8</v>
      </c>
      <c r="E13" s="379" t="s">
        <v>401</v>
      </c>
      <c r="F13" s="379">
        <v>1</v>
      </c>
      <c r="G13" s="379">
        <f>'WD Load - Input and Instruction'!$F$12</f>
        <v>0</v>
      </c>
      <c r="H13" s="379" t="s">
        <v>294</v>
      </c>
      <c r="I13" s="379" t="s">
        <v>402</v>
      </c>
      <c r="K13" s="379">
        <f>VLOOKUP($H13,'BA Upload'!$G:$J,3,FALSE)</f>
        <v>0</v>
      </c>
      <c r="L13" s="379">
        <f>VLOOKUP($H13,'BA Upload'!$G:$J,4,FALSE)</f>
        <v>0</v>
      </c>
      <c r="N13" s="379">
        <f>'WD Load - Input and Instruction'!$G$12</f>
        <v>0</v>
      </c>
      <c r="O13" s="379">
        <f>'WD Load - Input and Instruction'!$H$12</f>
        <v>0</v>
      </c>
      <c r="P13" s="379">
        <f>'WD Load - Input and Instruction'!$I$12</f>
        <v>0</v>
      </c>
      <c r="Q13" s="379">
        <f>'WD Load - Input and Instruction'!$J$12</f>
        <v>0</v>
      </c>
      <c r="R13" s="379">
        <f>'WD Load - Input and Instruction'!$K$12</f>
        <v>0</v>
      </c>
      <c r="S13" s="379">
        <f>'WD Load - Input and Instruction'!$L$12</f>
        <v>0</v>
      </c>
      <c r="T13" s="379" t="s">
        <v>295</v>
      </c>
      <c r="U13" s="379">
        <f>'WD Load - Input and Instruction'!$M$12</f>
        <v>0</v>
      </c>
    </row>
    <row r="14" spans="1:23" s="379" customFormat="1" x14ac:dyDescent="0.2">
      <c r="B14" s="379" t="s">
        <v>400</v>
      </c>
      <c r="C14" s="379">
        <v>9</v>
      </c>
      <c r="D14" s="379">
        <v>9</v>
      </c>
      <c r="E14" s="379" t="s">
        <v>401</v>
      </c>
      <c r="F14" s="379">
        <v>1</v>
      </c>
      <c r="G14" s="379">
        <f>'WD Load - Input and Instruction'!$F$12</f>
        <v>0</v>
      </c>
      <c r="H14" s="379" t="s">
        <v>297</v>
      </c>
      <c r="I14" s="379" t="s">
        <v>402</v>
      </c>
      <c r="K14" s="379">
        <f>VLOOKUP($H14,'BA Upload'!$G:$J,3,FALSE)</f>
        <v>0</v>
      </c>
      <c r="L14" s="379">
        <f>VLOOKUP($H14,'BA Upload'!$G:$J,4,FALSE)</f>
        <v>0</v>
      </c>
      <c r="N14" s="379">
        <f>'WD Load - Input and Instruction'!$G$12</f>
        <v>0</v>
      </c>
      <c r="O14" s="379">
        <f>'WD Load - Input and Instruction'!$H$12</f>
        <v>0</v>
      </c>
      <c r="P14" s="379">
        <f>'WD Load - Input and Instruction'!$I$12</f>
        <v>0</v>
      </c>
      <c r="Q14" s="379">
        <f>'WD Load - Input and Instruction'!$J$12</f>
        <v>0</v>
      </c>
      <c r="R14" s="379">
        <f>'WD Load - Input and Instruction'!$K$12</f>
        <v>0</v>
      </c>
      <c r="S14" s="379">
        <f>'WD Load - Input and Instruction'!$L$12</f>
        <v>0</v>
      </c>
      <c r="T14" s="379" t="s">
        <v>298</v>
      </c>
      <c r="U14" s="379">
        <f>'WD Load - Input and Instruction'!$M$12</f>
        <v>0</v>
      </c>
    </row>
    <row r="15" spans="1:23" s="379" customFormat="1" x14ac:dyDescent="0.2">
      <c r="B15" s="379" t="s">
        <v>400</v>
      </c>
      <c r="C15" s="379">
        <v>10</v>
      </c>
      <c r="D15" s="379">
        <v>10</v>
      </c>
      <c r="E15" s="379" t="s">
        <v>401</v>
      </c>
      <c r="F15" s="379">
        <v>1</v>
      </c>
      <c r="G15" s="379">
        <f>'WD Load - Input and Instruction'!$F$12</f>
        <v>0</v>
      </c>
      <c r="H15" s="379" t="s">
        <v>302</v>
      </c>
      <c r="I15" s="379" t="s">
        <v>402</v>
      </c>
      <c r="K15" s="379">
        <f>VLOOKUP($H15,'BA Upload'!$G:$J,3,FALSE)</f>
        <v>0</v>
      </c>
      <c r="L15" s="379">
        <f>VLOOKUP($H15,'BA Upload'!$G:$J,4,FALSE)</f>
        <v>0</v>
      </c>
      <c r="N15" s="379">
        <f>'WD Load - Input and Instruction'!$G$12</f>
        <v>0</v>
      </c>
      <c r="O15" s="379">
        <f>'WD Load - Input and Instruction'!$H$12</f>
        <v>0</v>
      </c>
      <c r="P15" s="379">
        <f>'WD Load - Input and Instruction'!$I$12</f>
        <v>0</v>
      </c>
      <c r="Q15" s="379">
        <f>'WD Load - Input and Instruction'!$J$12</f>
        <v>0</v>
      </c>
      <c r="R15" s="379">
        <f>'WD Load - Input and Instruction'!$K$12</f>
        <v>0</v>
      </c>
      <c r="S15" s="379">
        <f>'WD Load - Input and Instruction'!$L$12</f>
        <v>0</v>
      </c>
      <c r="T15" s="379" t="s">
        <v>174</v>
      </c>
      <c r="U15" s="379">
        <f>'WD Load - Input and Instruction'!$M$12</f>
        <v>0</v>
      </c>
    </row>
    <row r="16" spans="1:23" s="379" customFormat="1" x14ac:dyDescent="0.2">
      <c r="B16" s="379" t="s">
        <v>400</v>
      </c>
      <c r="C16" s="379">
        <v>11</v>
      </c>
      <c r="D16" s="379">
        <v>11</v>
      </c>
      <c r="E16" s="379" t="s">
        <v>401</v>
      </c>
      <c r="F16" s="379">
        <v>1</v>
      </c>
      <c r="G16" s="379">
        <f>'WD Load - Input and Instruction'!$F$12</f>
        <v>0</v>
      </c>
      <c r="H16" s="379" t="s">
        <v>303</v>
      </c>
      <c r="I16" s="379" t="s">
        <v>402</v>
      </c>
      <c r="K16" s="379">
        <f>VLOOKUP($H16,'BA Upload'!$G:$J,3,FALSE)</f>
        <v>0</v>
      </c>
      <c r="L16" s="379">
        <f>VLOOKUP($H16,'BA Upload'!$G:$J,4,FALSE)</f>
        <v>0</v>
      </c>
      <c r="N16" s="379">
        <f>'WD Load - Input and Instruction'!$G$12</f>
        <v>0</v>
      </c>
      <c r="O16" s="379">
        <f>'WD Load - Input and Instruction'!$H$12</f>
        <v>0</v>
      </c>
      <c r="P16" s="379">
        <f>'WD Load - Input and Instruction'!$I$12</f>
        <v>0</v>
      </c>
      <c r="Q16" s="379">
        <f>'WD Load - Input and Instruction'!$J$12</f>
        <v>0</v>
      </c>
      <c r="R16" s="379">
        <f>'WD Load - Input and Instruction'!$K$12</f>
        <v>0</v>
      </c>
      <c r="S16" s="379">
        <f>'WD Load - Input and Instruction'!$L$12</f>
        <v>0</v>
      </c>
      <c r="T16" s="379" t="s">
        <v>176</v>
      </c>
      <c r="U16" s="379">
        <f>'WD Load - Input and Instruction'!$M$12</f>
        <v>0</v>
      </c>
    </row>
    <row r="17" spans="2:21" s="379" customFormat="1" x14ac:dyDescent="0.2">
      <c r="B17" s="379" t="s">
        <v>400</v>
      </c>
      <c r="C17" s="379">
        <v>12</v>
      </c>
      <c r="D17" s="379">
        <v>12</v>
      </c>
      <c r="E17" s="379" t="s">
        <v>401</v>
      </c>
      <c r="F17" s="379">
        <v>1</v>
      </c>
      <c r="G17" s="379">
        <f>'WD Load - Input and Instruction'!$F$12</f>
        <v>0</v>
      </c>
      <c r="H17" s="379" t="s">
        <v>304</v>
      </c>
      <c r="I17" s="379" t="s">
        <v>402</v>
      </c>
      <c r="K17" s="379">
        <f>VLOOKUP($H17,'BA Upload'!$G:$J,3,FALSE)</f>
        <v>0</v>
      </c>
      <c r="L17" s="379">
        <f>VLOOKUP($H17,'BA Upload'!$G:$J,4,FALSE)</f>
        <v>0</v>
      </c>
      <c r="N17" s="379">
        <f>'WD Load - Input and Instruction'!$G$12</f>
        <v>0</v>
      </c>
      <c r="O17" s="379">
        <f>'WD Load - Input and Instruction'!$H$12</f>
        <v>0</v>
      </c>
      <c r="P17" s="379">
        <f>'WD Load - Input and Instruction'!$I$12</f>
        <v>0</v>
      </c>
      <c r="Q17" s="379">
        <f>'WD Load - Input and Instruction'!$J$12</f>
        <v>0</v>
      </c>
      <c r="R17" s="379">
        <f>'WD Load - Input and Instruction'!$K$12</f>
        <v>0</v>
      </c>
      <c r="S17" s="379">
        <f>'WD Load - Input and Instruction'!$L$12</f>
        <v>0</v>
      </c>
      <c r="T17" s="379" t="s">
        <v>305</v>
      </c>
      <c r="U17" s="379">
        <f>'WD Load - Input and Instruction'!$M$12</f>
        <v>0</v>
      </c>
    </row>
    <row r="18" spans="2:21" s="379" customFormat="1" x14ac:dyDescent="0.2">
      <c r="B18" s="379" t="s">
        <v>400</v>
      </c>
      <c r="C18" s="379">
        <v>13</v>
      </c>
      <c r="D18" s="379">
        <v>13</v>
      </c>
      <c r="E18" s="379" t="s">
        <v>401</v>
      </c>
      <c r="F18" s="379">
        <v>1</v>
      </c>
      <c r="G18" s="379">
        <f>'WD Load - Input and Instruction'!$F$12</f>
        <v>0</v>
      </c>
      <c r="H18" s="379" t="s">
        <v>306</v>
      </c>
      <c r="I18" s="379" t="s">
        <v>402</v>
      </c>
      <c r="K18" s="379">
        <f>VLOOKUP($H18,'BA Upload'!$G:$J,3,FALSE)</f>
        <v>0</v>
      </c>
      <c r="L18" s="379">
        <f>VLOOKUP($H18,'BA Upload'!$G:$J,4,FALSE)</f>
        <v>0</v>
      </c>
      <c r="N18" s="379">
        <f>'WD Load - Input and Instruction'!$G$12</f>
        <v>0</v>
      </c>
      <c r="O18" s="379">
        <f>'WD Load - Input and Instruction'!$H$12</f>
        <v>0</v>
      </c>
      <c r="P18" s="379">
        <f>'WD Load - Input and Instruction'!$I$12</f>
        <v>0</v>
      </c>
      <c r="Q18" s="379">
        <f>'WD Load - Input and Instruction'!$J$12</f>
        <v>0</v>
      </c>
      <c r="R18" s="379">
        <f>'WD Load - Input and Instruction'!$K$12</f>
        <v>0</v>
      </c>
      <c r="S18" s="379">
        <f>'WD Load - Input and Instruction'!$L$12</f>
        <v>0</v>
      </c>
      <c r="T18" s="379" t="s">
        <v>180</v>
      </c>
      <c r="U18" s="379">
        <f>'WD Load - Input and Instruction'!$M$12</f>
        <v>0</v>
      </c>
    </row>
    <row r="19" spans="2:21" s="379" customFormat="1" x14ac:dyDescent="0.2">
      <c r="B19" s="379" t="s">
        <v>400</v>
      </c>
      <c r="C19" s="379">
        <v>14</v>
      </c>
      <c r="D19" s="379">
        <v>14</v>
      </c>
      <c r="E19" s="379" t="s">
        <v>401</v>
      </c>
      <c r="F19" s="379">
        <v>1</v>
      </c>
      <c r="G19" s="379">
        <f>'WD Load - Input and Instruction'!$F$12</f>
        <v>0</v>
      </c>
      <c r="H19" s="379" t="s">
        <v>308</v>
      </c>
      <c r="I19" s="379" t="s">
        <v>402</v>
      </c>
      <c r="K19" s="379">
        <f>VLOOKUP($H19,'BA Upload'!$G:$J,3,FALSE)</f>
        <v>0</v>
      </c>
      <c r="L19" s="379">
        <f>VLOOKUP($H19,'BA Upload'!$G:$J,4,FALSE)</f>
        <v>0</v>
      </c>
      <c r="N19" s="379">
        <f>'WD Load - Input and Instruction'!$G$12</f>
        <v>0</v>
      </c>
      <c r="O19" s="379">
        <f>'WD Load - Input and Instruction'!$H$12</f>
        <v>0</v>
      </c>
      <c r="P19" s="379">
        <f>'WD Load - Input and Instruction'!$I$12</f>
        <v>0</v>
      </c>
      <c r="Q19" s="379">
        <f>'WD Load - Input and Instruction'!$J$12</f>
        <v>0</v>
      </c>
      <c r="R19" s="379">
        <f>'WD Load - Input and Instruction'!$K$12</f>
        <v>0</v>
      </c>
      <c r="S19" s="379">
        <f>'WD Load - Input and Instruction'!$L$12</f>
        <v>0</v>
      </c>
      <c r="T19" s="379" t="s">
        <v>171</v>
      </c>
      <c r="U19" s="379">
        <f>'WD Load - Input and Instruction'!$M$12</f>
        <v>0</v>
      </c>
    </row>
    <row r="20" spans="2:21" s="379" customFormat="1" x14ac:dyDescent="0.2">
      <c r="B20" s="379" t="s">
        <v>400</v>
      </c>
      <c r="C20" s="379">
        <v>15</v>
      </c>
      <c r="D20" s="379">
        <v>15</v>
      </c>
      <c r="E20" s="379" t="s">
        <v>401</v>
      </c>
      <c r="F20" s="379">
        <v>1</v>
      </c>
      <c r="G20" s="379">
        <f>'WD Load - Input and Instruction'!$F$12</f>
        <v>0</v>
      </c>
      <c r="H20" s="379" t="s">
        <v>309</v>
      </c>
      <c r="I20" s="379" t="s">
        <v>402</v>
      </c>
      <c r="K20" s="379">
        <f>VLOOKUP($H20,'BA Upload'!$G:$J,3,FALSE)</f>
        <v>157105</v>
      </c>
      <c r="L20" s="379">
        <f>VLOOKUP($H20,'BA Upload'!$G:$J,4,FALSE)</f>
        <v>0</v>
      </c>
      <c r="N20" s="379">
        <f>'WD Load - Input and Instruction'!$G$12</f>
        <v>0</v>
      </c>
      <c r="O20" s="379">
        <f>'WD Load - Input and Instruction'!$H$12</f>
        <v>0</v>
      </c>
      <c r="P20" s="379">
        <f>'WD Load - Input and Instruction'!$I$12</f>
        <v>0</v>
      </c>
      <c r="Q20" s="379">
        <f>'WD Load - Input and Instruction'!$J$12</f>
        <v>0</v>
      </c>
      <c r="R20" s="379">
        <f>'WD Load - Input and Instruction'!$K$12</f>
        <v>0</v>
      </c>
      <c r="S20" s="379">
        <f>'WD Load - Input and Instruction'!$L$12</f>
        <v>0</v>
      </c>
      <c r="T20" s="379" t="s">
        <v>310</v>
      </c>
      <c r="U20" s="379">
        <f>'WD Load - Input and Instruction'!$M$12</f>
        <v>0</v>
      </c>
    </row>
    <row r="21" spans="2:21" s="379" customFormat="1" x14ac:dyDescent="0.2">
      <c r="B21" s="379" t="s">
        <v>400</v>
      </c>
      <c r="C21" s="379">
        <v>16</v>
      </c>
      <c r="D21" s="379">
        <v>16</v>
      </c>
      <c r="E21" s="379" t="s">
        <v>401</v>
      </c>
      <c r="F21" s="379">
        <v>1</v>
      </c>
      <c r="G21" s="379">
        <f>'WD Load - Input and Instruction'!$F$12</f>
        <v>0</v>
      </c>
      <c r="H21" s="379" t="s">
        <v>312</v>
      </c>
      <c r="I21" s="379" t="s">
        <v>402</v>
      </c>
      <c r="K21" s="379">
        <f>VLOOKUP($H21,'BA Upload'!$G:$J,3,FALSE)</f>
        <v>0</v>
      </c>
      <c r="L21" s="379">
        <f>VLOOKUP($H21,'BA Upload'!$G:$J,4,FALSE)</f>
        <v>0</v>
      </c>
      <c r="N21" s="379">
        <f>'WD Load - Input and Instruction'!$G$12</f>
        <v>0</v>
      </c>
      <c r="O21" s="379">
        <f>'WD Load - Input and Instruction'!$H$12</f>
        <v>0</v>
      </c>
      <c r="P21" s="379">
        <f>'WD Load - Input and Instruction'!$I$12</f>
        <v>0</v>
      </c>
      <c r="Q21" s="379">
        <f>'WD Load - Input and Instruction'!$J$12</f>
        <v>0</v>
      </c>
      <c r="R21" s="379">
        <f>'WD Load - Input and Instruction'!$K$12</f>
        <v>0</v>
      </c>
      <c r="S21" s="379">
        <f>'WD Load - Input and Instruction'!$L$12</f>
        <v>0</v>
      </c>
      <c r="T21" s="379" t="s">
        <v>313</v>
      </c>
      <c r="U21" s="379">
        <f>'WD Load - Input and Instruction'!$M$12</f>
        <v>0</v>
      </c>
    </row>
  </sheetData>
  <sheetProtection algorithmName="SHA-512" hashValue="ybt2pAwG/a3NNseuO/B37sEYLIS9dooI/UjhByHfakC/S+lfZLXI4ghe0MMeNbaiyHZ6bCwE1p/hzLoPY3627A==" saltValue="mfvR7zJrhr7bE14aQAQTBQ==" spinCount="100000" sheet="1" objects="1" scenarios="1"/>
  <mergeCells count="2">
    <mergeCell ref="A1:W1"/>
    <mergeCell ref="B2:W2"/>
  </mergeCells>
  <dataValidations disablePrompts="1" count="11">
    <dataValidation type="list" allowBlank="1" showInputMessage="1" showErrorMessage="1" sqref="E4" xr:uid="{00000000-0002-0000-0700-000000000000}">
      <formula1>"Company_Reference_ID,WID,Organization_Reference_ID"</formula1>
    </dataValidation>
    <dataValidation type="list" allowBlank="1" showInputMessage="1" showErrorMessage="1" sqref="J4" xr:uid="{00000000-0002-0000-0700-000001000000}">
      <formula1>"Currency_Numeric_Code,WID,Currency_ID"</formula1>
    </dataValidation>
    <dataValidation type="list" allowBlank="1" showInputMessage="1" showErrorMessage="1" sqref="T4" xr:uid="{00000000-0002-0000-0700-000002000000}">
      <formula1>"Object_Class_ID,WID"</formula1>
    </dataValidation>
    <dataValidation type="list" allowBlank="1" showInputMessage="1" showErrorMessage="1" sqref="G4" xr:uid="{00000000-0002-0000-0700-000003000000}">
      <formula1>"WID,Award_Posting_Interval_ID,Fiscal_Posting_Interval_ID,Fiscal_Summary_Schedule_ID,Fiscal_Summary_Interval_ID"</formula1>
    </dataValidation>
    <dataValidation type="list" allowBlank="1" showInputMessage="1" showErrorMessage="1" sqref="H4" xr:uid="{00000000-0002-0000-0700-000004000000}">
      <formula1>"WID,Ledger_Account_ID,Ledger_Account_Summary_ID"</formula1>
    </dataValidation>
    <dataValidation type="list" allowBlank="1" showInputMessage="1" showErrorMessage="1" sqref="I4" xr:uid="{00000000-0002-0000-0700-000005000000}">
      <formula1>"WID,Account_Set_ID"</formula1>
    </dataValidation>
    <dataValidation type="list" allowBlank="1" showInputMessage="1" showErrorMessage="1" sqref="N4" xr:uid="{00000000-0002-0000-0700-000006000000}">
      <formula1>"WID,Grant_ID"</formula1>
    </dataValidation>
    <dataValidation type="list" allowBlank="1" showInputMessage="1" showErrorMessage="1" sqref="O4" xr:uid="{00000000-0002-0000-0700-000007000000}">
      <formula1>"WID,Cost_Center_Reference_ID"</formula1>
    </dataValidation>
    <dataValidation type="list" allowBlank="1" showInputMessage="1" showErrorMessage="1" sqref="P4" xr:uid="{00000000-0002-0000-0700-000008000000}">
      <formula1>"WID,Business_Unit_ID"</formula1>
    </dataValidation>
    <dataValidation type="list" allowBlank="1" showInputMessage="1" showErrorMessage="1" sqref="Q4" xr:uid="{00000000-0002-0000-0700-000009000000}">
      <formula1>"WID,Fund_ID"</formula1>
    </dataValidation>
    <dataValidation type="list" allowBlank="1" showInputMessage="1" showErrorMessage="1" sqref="R4:S4 U4:W4" xr:uid="{00000000-0002-0000-0700-00000A000000}">
      <formula1>"WID,Custom_Organization_Reference_ID"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NSF5GPG</vt:lpstr>
      <vt:lpstr>Tuition</vt:lpstr>
      <vt:lpstr>F&amp;A Calculation- Sponsor Funds</vt:lpstr>
      <vt:lpstr>BA Upload</vt:lpstr>
      <vt:lpstr>WD Load - Input and Instruction</vt:lpstr>
      <vt:lpstr>WD Load- Output Sheet 1</vt:lpstr>
      <vt:lpstr>WD Load - Output Sheet 2</vt:lpstr>
      <vt:lpstr>_YR3</vt:lpstr>
      <vt:lpstr>_YR4</vt:lpstr>
      <vt:lpstr>_YR5</vt:lpstr>
      <vt:lpstr>FAC</vt:lpstr>
      <vt:lpstr>GRAD</vt:lpstr>
      <vt:lpstr>grad1</vt:lpstr>
      <vt:lpstr>grad2</vt:lpstr>
      <vt:lpstr>grad3</vt:lpstr>
      <vt:lpstr>grad4</vt:lpstr>
      <vt:lpstr>grad5</vt:lpstr>
      <vt:lpstr>HOUR</vt:lpstr>
      <vt:lpstr>MERIT</vt:lpstr>
      <vt:lpstr>POST</vt:lpstr>
      <vt:lpstr>NSF5GPG!Print_Area</vt:lpstr>
      <vt:lpstr>Tuition!Print_Area</vt:lpstr>
      <vt:lpstr>PS</vt:lpstr>
      <vt:lpstr>ug</vt:lpstr>
      <vt:lpstr>years</vt:lpstr>
    </vt:vector>
  </TitlesOfParts>
  <Manager>Diane M. Meyer</Manager>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NSF budget template</dc:title>
  <dc:creator>Office of Sponsored Programs Administration</dc:creator>
  <cp:lastModifiedBy>jil</cp:lastModifiedBy>
  <cp:lastPrinted>2020-10-25T21:47:29Z</cp:lastPrinted>
  <dcterms:created xsi:type="dcterms:W3CDTF">1997-11-18T18:31:52Z</dcterms:created>
  <dcterms:modified xsi:type="dcterms:W3CDTF">2020-10-28T17:08:48Z</dcterms:modified>
</cp:coreProperties>
</file>